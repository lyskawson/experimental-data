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eklyskawa/Desktop/experimental-data/labs/lab01/outputs/"/>
    </mc:Choice>
  </mc:AlternateContent>
  <xr:revisionPtr revIDLastSave="0" documentId="13_ncr:1_{B98BDADF-B41D-2341-AFF0-EBB749D4AE0B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Lab 1" sheetId="1" r:id="rId1"/>
  </sheets>
  <definedNames>
    <definedName name="_xlnm.Print_Area" localSheetId="0">'Lab 1'!$A$1:$R$46,'Lab 1'!$A$49:$R$74,'Lab 1'!$A$78:$R$105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2" i="1" l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H83" i="1"/>
  <c r="G83" i="1"/>
  <c r="J163" i="1" s="1"/>
  <c r="F83" i="1"/>
  <c r="E83" i="1"/>
  <c r="D83" i="1"/>
  <c r="C83" i="1"/>
  <c r="B83" i="1"/>
  <c r="H82" i="1"/>
  <c r="G82" i="1"/>
  <c r="J159" i="1" s="1"/>
  <c r="F82" i="1"/>
  <c r="E82" i="1"/>
  <c r="D82" i="1"/>
  <c r="C82" i="1"/>
  <c r="B82" i="1"/>
  <c r="H81" i="1"/>
  <c r="G81" i="1"/>
  <c r="J155" i="1" s="1"/>
  <c r="F81" i="1"/>
  <c r="E81" i="1"/>
  <c r="D81" i="1"/>
  <c r="C81" i="1"/>
  <c r="B81" i="1"/>
  <c r="J53" i="1"/>
  <c r="I53" i="1"/>
  <c r="H53" i="1"/>
  <c r="J151" i="1" s="1"/>
  <c r="G53" i="1"/>
  <c r="J52" i="1"/>
  <c r="I52" i="1"/>
  <c r="H52" i="1"/>
  <c r="J147" i="1" s="1"/>
  <c r="G52" i="1"/>
  <c r="H10" i="1"/>
  <c r="G10" i="1"/>
  <c r="J143" i="1" s="1"/>
  <c r="F10" i="1"/>
  <c r="E10" i="1"/>
  <c r="D10" i="1"/>
  <c r="C10" i="1"/>
  <c r="B10" i="1"/>
  <c r="H9" i="1"/>
  <c r="G9" i="1"/>
  <c r="J139" i="1" s="1"/>
  <c r="F9" i="1"/>
  <c r="E9" i="1"/>
  <c r="D9" i="1"/>
  <c r="C9" i="1"/>
  <c r="B9" i="1"/>
  <c r="H8" i="1"/>
  <c r="G8" i="1"/>
  <c r="J135" i="1" s="1"/>
  <c r="F8" i="1"/>
  <c r="E8" i="1"/>
  <c r="D8" i="1"/>
  <c r="C8" i="1"/>
  <c r="B8" i="1"/>
  <c r="H7" i="1"/>
  <c r="G7" i="1"/>
  <c r="J131" i="1" s="1"/>
  <c r="F7" i="1"/>
  <c r="E7" i="1"/>
  <c r="D7" i="1"/>
  <c r="C7" i="1"/>
  <c r="B7" i="1"/>
  <c r="J134" i="1" l="1"/>
  <c r="J150" i="1"/>
  <c r="J138" i="1"/>
  <c r="J154" i="1"/>
  <c r="J142" i="1"/>
  <c r="J158" i="1"/>
  <c r="J130" i="1"/>
  <c r="J146" i="1"/>
  <c r="J162" i="1"/>
</calcChain>
</file>

<file path=xl/sharedStrings.xml><?xml version="1.0" encoding="utf-8"?>
<sst xmlns="http://schemas.openxmlformats.org/spreadsheetml/2006/main" count="69" uniqueCount="58">
  <si>
    <t>Laboratorium 1 — Analiza danych eksperymentalnych</t>
  </si>
  <si>
    <t>Zadanie 1. Kwartet Anscombe’a</t>
  </si>
  <si>
    <t>Wariancja z próby: dzielnik n−1. Prosta regresji: y = beta0 + beta1 · x.</t>
  </si>
  <si>
    <t>Seria</t>
  </si>
  <si>
    <t>Śr. x</t>
  </si>
  <si>
    <t>Śr. y</t>
  </si>
  <si>
    <t>Var. x</t>
  </si>
  <si>
    <t>Var. y</t>
  </si>
  <si>
    <t>Pearson r</t>
  </si>
  <si>
    <t>beta0</t>
  </si>
  <si>
    <t>beta1</t>
  </si>
  <si>
    <t>I</t>
  </si>
  <si>
    <t>II</t>
  </si>
  <si>
    <t>III</t>
  </si>
  <si>
    <t>IV</t>
  </si>
  <si>
    <t>Zadanie 2. Zapis danych i usunięcie punktu odstającego</t>
  </si>
  <si>
    <t>Format</t>
  </si>
  <si>
    <t>Bajty</t>
  </si>
  <si>
    <t>Dane</t>
  </si>
  <si>
    <t>n</t>
  </si>
  <si>
    <t>R²</t>
  </si>
  <si>
    <t>CSV</t>
  </si>
  <si>
    <t>Przed</t>
  </si>
  <si>
    <t>JSON</t>
  </si>
  <si>
    <t>Po</t>
  </si>
  <si>
    <t>XML</t>
  </si>
  <si>
    <t>Reguła 1,5 × IQR dla y w serii III wskazała punkt (13; 12,74). Po filtracji pozostało 10 punktów.</t>
  </si>
  <si>
    <t>Zadanie 3. Porównanie serii 1, 9 i 10</t>
  </si>
  <si>
    <t>seria1</t>
  </si>
  <si>
    <t>seria9</t>
  </si>
  <si>
    <t>seria10</t>
  </si>
  <si>
    <t>Dane źródłowe użyte w tabelach i wykresach</t>
  </si>
  <si>
    <t>Nr</t>
  </si>
  <si>
    <t>x I</t>
  </si>
  <si>
    <t>y I</t>
  </si>
  <si>
    <t>x II</t>
  </si>
  <si>
    <t>y II</t>
  </si>
  <si>
    <t>x III</t>
  </si>
  <si>
    <t>y III</t>
  </si>
  <si>
    <t>x IV</t>
  </si>
  <si>
    <t>y IV</t>
  </si>
  <si>
    <t>x III po</t>
  </si>
  <si>
    <t>y III po</t>
  </si>
  <si>
    <t>x seria1</t>
  </si>
  <si>
    <t>y seria1</t>
  </si>
  <si>
    <t>x seria9</t>
  </si>
  <si>
    <t>y seria9</t>
  </si>
  <si>
    <t>x seria10</t>
  </si>
  <si>
    <t>y seria10</t>
  </si>
  <si>
    <t>Prosta: Seria I</t>
  </si>
  <si>
    <t>Prosta: Seria II</t>
  </si>
  <si>
    <t>Prosta: Seria III</t>
  </si>
  <si>
    <t>Prosta: Seria IV</t>
  </si>
  <si>
    <t>Prosta: Przed usunięciem punktu</t>
  </si>
  <si>
    <t>Prosta: Po usunięciu punktu</t>
  </si>
  <si>
    <t>Prosta: seria1</t>
  </si>
  <si>
    <t>Prosta: seria9</t>
  </si>
  <si>
    <t>Prosta: seria10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</si>
</sst>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>
    <font>
      <sz val="11"/>
      <name val="Carlito"/>
    </font>
    <font>
      <sz val="11"/>
      <color rgb="FF000000"/>
      <name val="Calibri"/>
      <family val="2"/>
    </font>
    <font>
      <b/>
      <sz val="17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2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 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1'!$B$113:$B$123</c:f>
              <c:numCache>
                <c:formatCode>0.00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'Lab 1'!$C$113:$C$123</c:f>
              <c:numCache>
                <c:formatCode>0.00</c:formatCode>
                <c:ptCount val="11"/>
                <c:pt idx="0">
                  <c:v>8.0399999999999991</c:v>
                </c:pt>
                <c:pt idx="1">
                  <c:v>6.95</c:v>
                </c:pt>
                <c:pt idx="2">
                  <c:v>7.58</c:v>
                </c:pt>
                <c:pt idx="3">
                  <c:v>8.81</c:v>
                </c:pt>
                <c:pt idx="4">
                  <c:v>8.33</c:v>
                </c:pt>
                <c:pt idx="5">
                  <c:v>9.9600000000000009</c:v>
                </c:pt>
                <c:pt idx="6">
                  <c:v>7.24</c:v>
                </c:pt>
                <c:pt idx="7">
                  <c:v>4.26</c:v>
                </c:pt>
                <c:pt idx="8">
                  <c:v>10.84</c:v>
                </c:pt>
                <c:pt idx="9">
                  <c:v>4.82</c:v>
                </c:pt>
                <c:pt idx="10">
                  <c:v>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1-D748-8872-6593C5218399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1'!$I$130:$I$131</c:f>
              <c:numCache>
                <c:formatCode>General</c:formatCode>
                <c:ptCount val="2"/>
                <c:pt idx="0">
                  <c:v>3</c:v>
                </c:pt>
                <c:pt idx="1">
                  <c:v>20</c:v>
                </c:pt>
              </c:numCache>
            </c:numRef>
          </c:xVal>
          <c:yVal>
            <c:numRef>
              <c:f>'Lab 1'!$J$130:$J$131</c:f>
              <c:numCache>
                <c:formatCode>General</c:formatCode>
                <c:ptCount val="2"/>
                <c:pt idx="0">
                  <c:v>4.5003636363636375</c:v>
                </c:pt>
                <c:pt idx="1">
                  <c:v>13.001909090909095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D1-D748-8872-6593C521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 II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1'!$D$113:$D$123</c:f>
              <c:numCache>
                <c:formatCode>0.00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'Lab 1'!$E$113:$E$123</c:f>
              <c:numCache>
                <c:formatCode>0.00</c:formatCode>
                <c:ptCount val="11"/>
                <c:pt idx="0">
                  <c:v>9.14</c:v>
                </c:pt>
                <c:pt idx="1">
                  <c:v>8.14</c:v>
                </c:pt>
                <c:pt idx="2">
                  <c:v>8.74</c:v>
                </c:pt>
                <c:pt idx="3">
                  <c:v>8.77</c:v>
                </c:pt>
                <c:pt idx="4">
                  <c:v>9.26</c:v>
                </c:pt>
                <c:pt idx="5">
                  <c:v>8.1</c:v>
                </c:pt>
                <c:pt idx="6">
                  <c:v>6.13</c:v>
                </c:pt>
                <c:pt idx="7">
                  <c:v>3.1</c:v>
                </c:pt>
                <c:pt idx="8">
                  <c:v>9.1300000000000008</c:v>
                </c:pt>
                <c:pt idx="9">
                  <c:v>7.26</c:v>
                </c:pt>
                <c:pt idx="10">
                  <c:v>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9-FA4A-8ABB-F9596EEDA6EC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1'!$I$134:$I$135</c:f>
              <c:numCache>
                <c:formatCode>General</c:formatCode>
                <c:ptCount val="2"/>
                <c:pt idx="0">
                  <c:v>3</c:v>
                </c:pt>
                <c:pt idx="1">
                  <c:v>20</c:v>
                </c:pt>
              </c:numCache>
            </c:numRef>
          </c:xVal>
          <c:yVal>
            <c:numRef>
              <c:f>'Lab 1'!$J$134:$J$135</c:f>
              <c:numCache>
                <c:formatCode>General</c:formatCode>
                <c:ptCount val="2"/>
                <c:pt idx="0">
                  <c:v>4.500909090909091</c:v>
                </c:pt>
                <c:pt idx="1">
                  <c:v>13.00090909090909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9-FA4A-8ABB-F9596EED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 III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1'!$F$113:$F$123</c:f>
              <c:numCache>
                <c:formatCode>0.00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'Lab 1'!$G$113:$G$123</c:f>
              <c:numCache>
                <c:formatCode>0.00</c:formatCode>
                <c:ptCount val="11"/>
                <c:pt idx="0">
                  <c:v>7.46</c:v>
                </c:pt>
                <c:pt idx="1">
                  <c:v>6.77</c:v>
                </c:pt>
                <c:pt idx="2">
                  <c:v>12.74</c:v>
                </c:pt>
                <c:pt idx="3">
                  <c:v>7.11</c:v>
                </c:pt>
                <c:pt idx="4">
                  <c:v>7.81</c:v>
                </c:pt>
                <c:pt idx="5">
                  <c:v>8.84</c:v>
                </c:pt>
                <c:pt idx="6">
                  <c:v>6.08</c:v>
                </c:pt>
                <c:pt idx="7">
                  <c:v>5.39</c:v>
                </c:pt>
                <c:pt idx="8">
                  <c:v>8.15</c:v>
                </c:pt>
                <c:pt idx="9">
                  <c:v>6.42</c:v>
                </c:pt>
                <c:pt idx="10">
                  <c:v>5.73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9-3946-8558-E230A6E9E44D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1'!$I$138:$I$139</c:f>
              <c:numCache>
                <c:formatCode>General</c:formatCode>
                <c:ptCount val="2"/>
                <c:pt idx="0">
                  <c:v>3</c:v>
                </c:pt>
                <c:pt idx="1">
                  <c:v>20</c:v>
                </c:pt>
              </c:numCache>
            </c:numRef>
          </c:xVal>
          <c:yVal>
            <c:numRef>
              <c:f>'Lab 1'!$J$138:$J$139</c:f>
              <c:numCache>
                <c:formatCode>General</c:formatCode>
                <c:ptCount val="2"/>
                <c:pt idx="0">
                  <c:v>4.501636363636365</c:v>
                </c:pt>
                <c:pt idx="1">
                  <c:v>12.997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B9-3946-8558-E230A6E9E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 IV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1'!$H$113:$H$123</c:f>
              <c:numCache>
                <c:formatCode>0.00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xVal>
          <c:yVal>
            <c:numRef>
              <c:f>'Lab 1'!$I$113:$I$123</c:f>
              <c:numCache>
                <c:formatCode>0.00</c:formatCode>
                <c:ptCount val="11"/>
                <c:pt idx="0">
                  <c:v>6.58</c:v>
                </c:pt>
                <c:pt idx="1">
                  <c:v>5.76</c:v>
                </c:pt>
                <c:pt idx="2">
                  <c:v>7.71</c:v>
                </c:pt>
                <c:pt idx="3">
                  <c:v>8.84</c:v>
                </c:pt>
                <c:pt idx="4">
                  <c:v>8.4700000000000006</c:v>
                </c:pt>
                <c:pt idx="5">
                  <c:v>7.04</c:v>
                </c:pt>
                <c:pt idx="6">
                  <c:v>5.25</c:v>
                </c:pt>
                <c:pt idx="7">
                  <c:v>12.5</c:v>
                </c:pt>
                <c:pt idx="8">
                  <c:v>5.56</c:v>
                </c:pt>
                <c:pt idx="9">
                  <c:v>7.91</c:v>
                </c:pt>
                <c:pt idx="10">
                  <c:v>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0-F94F-899E-C0700AEBF93E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1'!$I$142:$I$143</c:f>
              <c:numCache>
                <c:formatCode>General</c:formatCode>
                <c:ptCount val="2"/>
                <c:pt idx="0">
                  <c:v>3</c:v>
                </c:pt>
                <c:pt idx="1">
                  <c:v>20</c:v>
                </c:pt>
              </c:numCache>
            </c:numRef>
          </c:xVal>
          <c:yVal>
            <c:numRef>
              <c:f>'Lab 1'!$J$142:$J$143</c:f>
              <c:numCache>
                <c:formatCode>General</c:formatCode>
                <c:ptCount val="2"/>
                <c:pt idx="0">
                  <c:v>4.5014545454545454</c:v>
                </c:pt>
                <c:pt idx="1">
                  <c:v>12.999909090909089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0-F94F-899E-C0700AEB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Przed usunięciem punktu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1'!$F$113:$F$123</c:f>
              <c:numCache>
                <c:formatCode>0.00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'Lab 1'!$G$113:$G$123</c:f>
              <c:numCache>
                <c:formatCode>0.00</c:formatCode>
                <c:ptCount val="11"/>
                <c:pt idx="0">
                  <c:v>7.46</c:v>
                </c:pt>
                <c:pt idx="1">
                  <c:v>6.77</c:v>
                </c:pt>
                <c:pt idx="2">
                  <c:v>12.74</c:v>
                </c:pt>
                <c:pt idx="3">
                  <c:v>7.11</c:v>
                </c:pt>
                <c:pt idx="4">
                  <c:v>7.81</c:v>
                </c:pt>
                <c:pt idx="5">
                  <c:v>8.84</c:v>
                </c:pt>
                <c:pt idx="6">
                  <c:v>6.08</c:v>
                </c:pt>
                <c:pt idx="7">
                  <c:v>5.39</c:v>
                </c:pt>
                <c:pt idx="8">
                  <c:v>8.15</c:v>
                </c:pt>
                <c:pt idx="9">
                  <c:v>6.42</c:v>
                </c:pt>
                <c:pt idx="10">
                  <c:v>5.73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7-5D44-A4E5-BAF8CC7F2542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1'!$I$146:$I$147</c:f>
              <c:numCache>
                <c:formatCode>General</c:formatCode>
                <c:ptCount val="2"/>
                <c:pt idx="0">
                  <c:v>3</c:v>
                </c:pt>
                <c:pt idx="1">
                  <c:v>15</c:v>
                </c:pt>
              </c:numCache>
            </c:numRef>
          </c:xVal>
          <c:yVal>
            <c:numRef>
              <c:f>'Lab 1'!$J$146:$J$147</c:f>
              <c:numCache>
                <c:formatCode>General</c:formatCode>
                <c:ptCount val="2"/>
                <c:pt idx="0">
                  <c:v>4.501636363636365</c:v>
                </c:pt>
                <c:pt idx="1">
                  <c:v>10.498363636363639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7-5D44-A4E5-BAF8CC7F2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4"/>
          <c:min val="4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15"/>
          <c:min val="3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Po usunięciu punktu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1'!$K$113:$K$122</c:f>
              <c:numCache>
                <c:formatCode>0.00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12</c:v>
                </c:pt>
                <c:pt idx="8">
                  <c:v>7</c:v>
                </c:pt>
                <c:pt idx="9">
                  <c:v>5</c:v>
                </c:pt>
              </c:numCache>
            </c:numRef>
          </c:xVal>
          <c:yVal>
            <c:numRef>
              <c:f>'Lab 1'!$L$113:$L$122</c:f>
              <c:numCache>
                <c:formatCode>0.00</c:formatCode>
                <c:ptCount val="10"/>
                <c:pt idx="0">
                  <c:v>7.46</c:v>
                </c:pt>
                <c:pt idx="1">
                  <c:v>6.77</c:v>
                </c:pt>
                <c:pt idx="2">
                  <c:v>7.11</c:v>
                </c:pt>
                <c:pt idx="3">
                  <c:v>7.81</c:v>
                </c:pt>
                <c:pt idx="4">
                  <c:v>8.84</c:v>
                </c:pt>
                <c:pt idx="5">
                  <c:v>6.08</c:v>
                </c:pt>
                <c:pt idx="6">
                  <c:v>5.39</c:v>
                </c:pt>
                <c:pt idx="7">
                  <c:v>8.15</c:v>
                </c:pt>
                <c:pt idx="8">
                  <c:v>6.42</c:v>
                </c:pt>
                <c:pt idx="9">
                  <c:v>5.73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C-3F4C-9F17-A985ACEC335A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1'!$I$150:$I$151</c:f>
              <c:numCache>
                <c:formatCode>General</c:formatCode>
                <c:ptCount val="2"/>
                <c:pt idx="0">
                  <c:v>3</c:v>
                </c:pt>
                <c:pt idx="1">
                  <c:v>15</c:v>
                </c:pt>
              </c:numCache>
            </c:numRef>
          </c:xVal>
          <c:yVal>
            <c:numRef>
              <c:f>'Lab 1'!$J$150:$J$151</c:f>
              <c:numCache>
                <c:formatCode>General</c:formatCode>
                <c:ptCount val="2"/>
                <c:pt idx="0">
                  <c:v>5.0418181818181811</c:v>
                </c:pt>
                <c:pt idx="1">
                  <c:v>9.1864935064935054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C-3F4C-9F17-A985ACEC3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4"/>
          <c:min val="4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15"/>
          <c:min val="3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1'!$B$129:$B$270</c:f>
              <c:numCache>
                <c:formatCode>0.00</c:formatCode>
                <c:ptCount val="142"/>
                <c:pt idx="0">
                  <c:v>55.384599999999999</c:v>
                </c:pt>
                <c:pt idx="1">
                  <c:v>51.538499999999999</c:v>
                </c:pt>
                <c:pt idx="2">
                  <c:v>46.153799999999997</c:v>
                </c:pt>
                <c:pt idx="3">
                  <c:v>42.820500000000003</c:v>
                </c:pt>
                <c:pt idx="4">
                  <c:v>40.769199999999998</c:v>
                </c:pt>
                <c:pt idx="5">
                  <c:v>38.7179</c:v>
                </c:pt>
                <c:pt idx="6">
                  <c:v>35.640999999999998</c:v>
                </c:pt>
                <c:pt idx="7">
                  <c:v>33.076900000000002</c:v>
                </c:pt>
                <c:pt idx="8">
                  <c:v>28.974399999999999</c:v>
                </c:pt>
                <c:pt idx="9">
                  <c:v>26.1538</c:v>
                </c:pt>
                <c:pt idx="10">
                  <c:v>23.076899999999998</c:v>
                </c:pt>
                <c:pt idx="11">
                  <c:v>22.307700000000001</c:v>
                </c:pt>
                <c:pt idx="12">
                  <c:v>22.307700000000001</c:v>
                </c:pt>
                <c:pt idx="13">
                  <c:v>23.333300000000001</c:v>
                </c:pt>
                <c:pt idx="14">
                  <c:v>25.897400000000001</c:v>
                </c:pt>
                <c:pt idx="15">
                  <c:v>29.487200000000001</c:v>
                </c:pt>
                <c:pt idx="16">
                  <c:v>32.820500000000003</c:v>
                </c:pt>
                <c:pt idx="17">
                  <c:v>35.384599999999999</c:v>
                </c:pt>
                <c:pt idx="18">
                  <c:v>40.256399999999999</c:v>
                </c:pt>
                <c:pt idx="19">
                  <c:v>44.102600000000002</c:v>
                </c:pt>
                <c:pt idx="20">
                  <c:v>46.666699999999999</c:v>
                </c:pt>
                <c:pt idx="21">
                  <c:v>50</c:v>
                </c:pt>
                <c:pt idx="22">
                  <c:v>53.076900000000002</c:v>
                </c:pt>
                <c:pt idx="23">
                  <c:v>56.666699999999999</c:v>
                </c:pt>
                <c:pt idx="24">
                  <c:v>59.230800000000002</c:v>
                </c:pt>
                <c:pt idx="25">
                  <c:v>61.2821</c:v>
                </c:pt>
                <c:pt idx="26">
                  <c:v>61.538499999999999</c:v>
                </c:pt>
                <c:pt idx="27">
                  <c:v>61.794899999999998</c:v>
                </c:pt>
                <c:pt idx="28">
                  <c:v>57.435899999999997</c:v>
                </c:pt>
                <c:pt idx="29">
                  <c:v>54.8718</c:v>
                </c:pt>
                <c:pt idx="30">
                  <c:v>52.564100000000003</c:v>
                </c:pt>
                <c:pt idx="31">
                  <c:v>48.205100000000002</c:v>
                </c:pt>
                <c:pt idx="32">
                  <c:v>49.487200000000001</c:v>
                </c:pt>
                <c:pt idx="33">
                  <c:v>51.025599999999997</c:v>
                </c:pt>
                <c:pt idx="34">
                  <c:v>45.384599999999999</c:v>
                </c:pt>
                <c:pt idx="35">
                  <c:v>42.820500000000003</c:v>
                </c:pt>
                <c:pt idx="36">
                  <c:v>38.7179</c:v>
                </c:pt>
                <c:pt idx="37">
                  <c:v>35.1282</c:v>
                </c:pt>
                <c:pt idx="38">
                  <c:v>32.564100000000003</c:v>
                </c:pt>
                <c:pt idx="39">
                  <c:v>30</c:v>
                </c:pt>
                <c:pt idx="40">
                  <c:v>33.589700000000001</c:v>
                </c:pt>
                <c:pt idx="41">
                  <c:v>36.666699999999999</c:v>
                </c:pt>
                <c:pt idx="42">
                  <c:v>38.205100000000002</c:v>
                </c:pt>
                <c:pt idx="43">
                  <c:v>29.743600000000001</c:v>
                </c:pt>
                <c:pt idx="44">
                  <c:v>29.743600000000001</c:v>
                </c:pt>
                <c:pt idx="45">
                  <c:v>30</c:v>
                </c:pt>
                <c:pt idx="46">
                  <c:v>32.051299999999998</c:v>
                </c:pt>
                <c:pt idx="47">
                  <c:v>35.897399999999998</c:v>
                </c:pt>
                <c:pt idx="48">
                  <c:v>41.025599999999997</c:v>
                </c:pt>
                <c:pt idx="49">
                  <c:v>44.102600000000002</c:v>
                </c:pt>
                <c:pt idx="50">
                  <c:v>47.179499999999997</c:v>
                </c:pt>
                <c:pt idx="51">
                  <c:v>49.487200000000001</c:v>
                </c:pt>
                <c:pt idx="52">
                  <c:v>51.538499999999999</c:v>
                </c:pt>
                <c:pt idx="53">
                  <c:v>53.589700000000001</c:v>
                </c:pt>
                <c:pt idx="54">
                  <c:v>55.1282</c:v>
                </c:pt>
                <c:pt idx="55">
                  <c:v>56.666699999999999</c:v>
                </c:pt>
                <c:pt idx="56">
                  <c:v>59.230800000000002</c:v>
                </c:pt>
                <c:pt idx="57">
                  <c:v>62.307699999999997</c:v>
                </c:pt>
                <c:pt idx="58">
                  <c:v>64.871799999999993</c:v>
                </c:pt>
                <c:pt idx="59">
                  <c:v>67.948700000000002</c:v>
                </c:pt>
                <c:pt idx="60">
                  <c:v>70.512799999999999</c:v>
                </c:pt>
                <c:pt idx="61">
                  <c:v>71.538499999999999</c:v>
                </c:pt>
                <c:pt idx="62">
                  <c:v>71.538499999999999</c:v>
                </c:pt>
                <c:pt idx="63">
                  <c:v>69.487200000000001</c:v>
                </c:pt>
                <c:pt idx="64">
                  <c:v>46.923099999999998</c:v>
                </c:pt>
                <c:pt idx="65">
                  <c:v>48.205100000000002</c:v>
                </c:pt>
                <c:pt idx="66">
                  <c:v>50</c:v>
                </c:pt>
                <c:pt idx="67">
                  <c:v>53.076900000000002</c:v>
                </c:pt>
                <c:pt idx="68">
                  <c:v>55.384599999999999</c:v>
                </c:pt>
                <c:pt idx="69">
                  <c:v>56.666699999999999</c:v>
                </c:pt>
                <c:pt idx="70">
                  <c:v>56.153799999999997</c:v>
                </c:pt>
                <c:pt idx="71">
                  <c:v>53.846200000000003</c:v>
                </c:pt>
                <c:pt idx="72">
                  <c:v>51.2821</c:v>
                </c:pt>
                <c:pt idx="73">
                  <c:v>50</c:v>
                </c:pt>
                <c:pt idx="74">
                  <c:v>47.948700000000002</c:v>
                </c:pt>
                <c:pt idx="75">
                  <c:v>29.743600000000001</c:v>
                </c:pt>
                <c:pt idx="76">
                  <c:v>29.743600000000001</c:v>
                </c:pt>
                <c:pt idx="77">
                  <c:v>31.2821</c:v>
                </c:pt>
                <c:pt idx="78">
                  <c:v>57.948700000000002</c:v>
                </c:pt>
                <c:pt idx="79">
                  <c:v>61.794899999999998</c:v>
                </c:pt>
                <c:pt idx="80">
                  <c:v>64.871799999999993</c:v>
                </c:pt>
                <c:pt idx="81">
                  <c:v>68.461500000000001</c:v>
                </c:pt>
                <c:pt idx="82">
                  <c:v>70.769199999999998</c:v>
                </c:pt>
                <c:pt idx="83">
                  <c:v>72.051299999999998</c:v>
                </c:pt>
                <c:pt idx="84">
                  <c:v>73.846199999999996</c:v>
                </c:pt>
                <c:pt idx="85">
                  <c:v>75.128200000000007</c:v>
                </c:pt>
                <c:pt idx="86">
                  <c:v>76.666700000000006</c:v>
                </c:pt>
                <c:pt idx="87">
                  <c:v>77.692300000000003</c:v>
                </c:pt>
                <c:pt idx="88">
                  <c:v>79.743600000000001</c:v>
                </c:pt>
                <c:pt idx="89">
                  <c:v>81.794899999999998</c:v>
                </c:pt>
                <c:pt idx="90">
                  <c:v>83.333299999999994</c:v>
                </c:pt>
                <c:pt idx="91">
                  <c:v>85.128200000000007</c:v>
                </c:pt>
                <c:pt idx="92">
                  <c:v>86.410300000000007</c:v>
                </c:pt>
                <c:pt idx="93">
                  <c:v>87.948700000000002</c:v>
                </c:pt>
                <c:pt idx="94">
                  <c:v>89.487200000000001</c:v>
                </c:pt>
                <c:pt idx="95">
                  <c:v>93.333299999999994</c:v>
                </c:pt>
                <c:pt idx="96">
                  <c:v>95.384600000000006</c:v>
                </c:pt>
                <c:pt idx="97">
                  <c:v>98.205100000000002</c:v>
                </c:pt>
                <c:pt idx="98">
                  <c:v>56.666699999999999</c:v>
                </c:pt>
                <c:pt idx="99">
                  <c:v>59.230800000000002</c:v>
                </c:pt>
                <c:pt idx="100">
                  <c:v>60.769199999999998</c:v>
                </c:pt>
                <c:pt idx="101">
                  <c:v>63.076900000000002</c:v>
                </c:pt>
                <c:pt idx="102">
                  <c:v>64.102599999999995</c:v>
                </c:pt>
                <c:pt idx="103">
                  <c:v>64.358999999999995</c:v>
                </c:pt>
                <c:pt idx="104">
                  <c:v>74.358999999999995</c:v>
                </c:pt>
                <c:pt idx="105">
                  <c:v>71.2821</c:v>
                </c:pt>
                <c:pt idx="106">
                  <c:v>67.948700000000002</c:v>
                </c:pt>
                <c:pt idx="107">
                  <c:v>65.897400000000005</c:v>
                </c:pt>
                <c:pt idx="108">
                  <c:v>63.076900000000002</c:v>
                </c:pt>
                <c:pt idx="109">
                  <c:v>61.2821</c:v>
                </c:pt>
                <c:pt idx="110">
                  <c:v>58.7179</c:v>
                </c:pt>
                <c:pt idx="111">
                  <c:v>55.1282</c:v>
                </c:pt>
                <c:pt idx="112">
                  <c:v>52.307699999999997</c:v>
                </c:pt>
                <c:pt idx="113">
                  <c:v>49.743600000000001</c:v>
                </c:pt>
                <c:pt idx="114">
                  <c:v>47.435899999999997</c:v>
                </c:pt>
                <c:pt idx="115">
                  <c:v>44.8718</c:v>
                </c:pt>
                <c:pt idx="116">
                  <c:v>48.7179</c:v>
                </c:pt>
                <c:pt idx="117">
                  <c:v>51.2821</c:v>
                </c:pt>
                <c:pt idx="118">
                  <c:v>54.102600000000002</c:v>
                </c:pt>
                <c:pt idx="119">
                  <c:v>56.153799999999997</c:v>
                </c:pt>
                <c:pt idx="120">
                  <c:v>52.051299999999998</c:v>
                </c:pt>
                <c:pt idx="121">
                  <c:v>48.7179</c:v>
                </c:pt>
                <c:pt idx="122">
                  <c:v>47.179499999999997</c:v>
                </c:pt>
                <c:pt idx="123">
                  <c:v>46.153799999999997</c:v>
                </c:pt>
                <c:pt idx="124">
                  <c:v>50.512799999999999</c:v>
                </c:pt>
                <c:pt idx="125">
                  <c:v>53.846200000000003</c:v>
                </c:pt>
                <c:pt idx="126">
                  <c:v>57.435899999999997</c:v>
                </c:pt>
                <c:pt idx="127">
                  <c:v>60</c:v>
                </c:pt>
                <c:pt idx="128">
                  <c:v>64.102599999999995</c:v>
                </c:pt>
                <c:pt idx="129">
                  <c:v>66.923100000000005</c:v>
                </c:pt>
                <c:pt idx="130">
                  <c:v>71.2821</c:v>
                </c:pt>
                <c:pt idx="131">
                  <c:v>74.358999999999995</c:v>
                </c:pt>
                <c:pt idx="132">
                  <c:v>78.205100000000002</c:v>
                </c:pt>
                <c:pt idx="133">
                  <c:v>67.948700000000002</c:v>
                </c:pt>
                <c:pt idx="134">
                  <c:v>68.461500000000001</c:v>
                </c:pt>
                <c:pt idx="135">
                  <c:v>68.205100000000002</c:v>
                </c:pt>
                <c:pt idx="136">
                  <c:v>37.692300000000003</c:v>
                </c:pt>
                <c:pt idx="137">
                  <c:v>39.487200000000001</c:v>
                </c:pt>
                <c:pt idx="138">
                  <c:v>91.2821</c:v>
                </c:pt>
                <c:pt idx="139">
                  <c:v>50</c:v>
                </c:pt>
                <c:pt idx="140">
                  <c:v>47.948700000000002</c:v>
                </c:pt>
                <c:pt idx="141">
                  <c:v>44.102600000000002</c:v>
                </c:pt>
              </c:numCache>
            </c:numRef>
          </c:xVal>
          <c:yVal>
            <c:numRef>
              <c:f>'Lab 1'!$C$129:$C$270</c:f>
              <c:numCache>
                <c:formatCode>0.00</c:formatCode>
                <c:ptCount val="142"/>
                <c:pt idx="0">
                  <c:v>97.179500000000004</c:v>
                </c:pt>
                <c:pt idx="1">
                  <c:v>96.025599999999997</c:v>
                </c:pt>
                <c:pt idx="2">
                  <c:v>94.487200000000001</c:v>
                </c:pt>
                <c:pt idx="3">
                  <c:v>91.410300000000007</c:v>
                </c:pt>
                <c:pt idx="4">
                  <c:v>88.333299999999994</c:v>
                </c:pt>
                <c:pt idx="5">
                  <c:v>84.871799999999993</c:v>
                </c:pt>
                <c:pt idx="6">
                  <c:v>79.871799999999993</c:v>
                </c:pt>
                <c:pt idx="7">
                  <c:v>77.564099999999996</c:v>
                </c:pt>
                <c:pt idx="8">
                  <c:v>74.487200000000001</c:v>
                </c:pt>
                <c:pt idx="9">
                  <c:v>71.410300000000007</c:v>
                </c:pt>
                <c:pt idx="10">
                  <c:v>66.410300000000007</c:v>
                </c:pt>
                <c:pt idx="11">
                  <c:v>61.794899999999998</c:v>
                </c:pt>
                <c:pt idx="12">
                  <c:v>57.179499999999997</c:v>
                </c:pt>
                <c:pt idx="13">
                  <c:v>52.948700000000002</c:v>
                </c:pt>
                <c:pt idx="14">
                  <c:v>51.025599999999997</c:v>
                </c:pt>
                <c:pt idx="15">
                  <c:v>51.025599999999997</c:v>
                </c:pt>
                <c:pt idx="16">
                  <c:v>51.025599999999997</c:v>
                </c:pt>
                <c:pt idx="17">
                  <c:v>51.410299999999999</c:v>
                </c:pt>
                <c:pt idx="18">
                  <c:v>51.410299999999999</c:v>
                </c:pt>
                <c:pt idx="19">
                  <c:v>52.948700000000002</c:v>
                </c:pt>
                <c:pt idx="20">
                  <c:v>54.102600000000002</c:v>
                </c:pt>
                <c:pt idx="21">
                  <c:v>55.256399999999999</c:v>
                </c:pt>
                <c:pt idx="22">
                  <c:v>55.640999999999998</c:v>
                </c:pt>
                <c:pt idx="23">
                  <c:v>56.025599999999997</c:v>
                </c:pt>
                <c:pt idx="24">
                  <c:v>57.948700000000002</c:v>
                </c:pt>
                <c:pt idx="25">
                  <c:v>62.179499999999997</c:v>
                </c:pt>
                <c:pt idx="26">
                  <c:v>66.410300000000007</c:v>
                </c:pt>
                <c:pt idx="27">
                  <c:v>69.102599999999995</c:v>
                </c:pt>
                <c:pt idx="28">
                  <c:v>55.256399999999999</c:v>
                </c:pt>
                <c:pt idx="29">
                  <c:v>49.8718</c:v>
                </c:pt>
                <c:pt idx="30">
                  <c:v>46.025599999999997</c:v>
                </c:pt>
                <c:pt idx="31">
                  <c:v>38.333300000000001</c:v>
                </c:pt>
                <c:pt idx="32">
                  <c:v>42.179499999999997</c:v>
                </c:pt>
                <c:pt idx="33">
                  <c:v>44.102600000000002</c:v>
                </c:pt>
                <c:pt idx="34">
                  <c:v>36.410299999999999</c:v>
                </c:pt>
                <c:pt idx="35">
                  <c:v>32.564100000000003</c:v>
                </c:pt>
                <c:pt idx="36">
                  <c:v>31.410299999999999</c:v>
                </c:pt>
                <c:pt idx="37">
                  <c:v>30.256399999999999</c:v>
                </c:pt>
                <c:pt idx="38">
                  <c:v>32.179499999999997</c:v>
                </c:pt>
                <c:pt idx="39">
                  <c:v>36.794899999999998</c:v>
                </c:pt>
                <c:pt idx="40">
                  <c:v>41.410299999999999</c:v>
                </c:pt>
                <c:pt idx="41">
                  <c:v>45.640999999999998</c:v>
                </c:pt>
                <c:pt idx="42">
                  <c:v>49.102600000000002</c:v>
                </c:pt>
                <c:pt idx="43">
                  <c:v>36.025599999999997</c:v>
                </c:pt>
                <c:pt idx="44">
                  <c:v>32.179499999999997</c:v>
                </c:pt>
                <c:pt idx="45">
                  <c:v>29.102599999999999</c:v>
                </c:pt>
                <c:pt idx="46">
                  <c:v>26.794899999999998</c:v>
                </c:pt>
                <c:pt idx="47">
                  <c:v>25.256399999999999</c:v>
                </c:pt>
                <c:pt idx="48">
                  <c:v>25.256399999999999</c:v>
                </c:pt>
                <c:pt idx="49">
                  <c:v>25.640999999999998</c:v>
                </c:pt>
                <c:pt idx="50">
                  <c:v>28.718</c:v>
                </c:pt>
                <c:pt idx="51">
                  <c:v>31.410299999999999</c:v>
                </c:pt>
                <c:pt idx="52">
                  <c:v>34.8718</c:v>
                </c:pt>
                <c:pt idx="53">
                  <c:v>37.564100000000003</c:v>
                </c:pt>
                <c:pt idx="54">
                  <c:v>40.640999999999998</c:v>
                </c:pt>
                <c:pt idx="55">
                  <c:v>42.179499999999997</c:v>
                </c:pt>
                <c:pt idx="56">
                  <c:v>44.487200000000001</c:v>
                </c:pt>
                <c:pt idx="57">
                  <c:v>46.025599999999997</c:v>
                </c:pt>
                <c:pt idx="58">
                  <c:v>46.794899999999998</c:v>
                </c:pt>
                <c:pt idx="59">
                  <c:v>47.948700000000002</c:v>
                </c:pt>
                <c:pt idx="60">
                  <c:v>53.718000000000004</c:v>
                </c:pt>
                <c:pt idx="61">
                  <c:v>60.640999999999998</c:v>
                </c:pt>
                <c:pt idx="62">
                  <c:v>64.487200000000001</c:v>
                </c:pt>
                <c:pt idx="63">
                  <c:v>69.487200000000001</c:v>
                </c:pt>
                <c:pt idx="64">
                  <c:v>79.871799999999993</c:v>
                </c:pt>
                <c:pt idx="65">
                  <c:v>84.102599999999995</c:v>
                </c:pt>
                <c:pt idx="66">
                  <c:v>85.256399999999999</c:v>
                </c:pt>
                <c:pt idx="67">
                  <c:v>85.256399999999999</c:v>
                </c:pt>
                <c:pt idx="68">
                  <c:v>86.025599999999997</c:v>
                </c:pt>
                <c:pt idx="69">
                  <c:v>86.025599999999997</c:v>
                </c:pt>
                <c:pt idx="70">
                  <c:v>82.948700000000002</c:v>
                </c:pt>
                <c:pt idx="71">
                  <c:v>80.641000000000005</c:v>
                </c:pt>
                <c:pt idx="72">
                  <c:v>78.718000000000004</c:v>
                </c:pt>
                <c:pt idx="73">
                  <c:v>78.718000000000004</c:v>
                </c:pt>
                <c:pt idx="74">
                  <c:v>77.564099999999996</c:v>
                </c:pt>
                <c:pt idx="75">
                  <c:v>59.8718</c:v>
                </c:pt>
                <c:pt idx="76">
                  <c:v>62.179499999999997</c:v>
                </c:pt>
                <c:pt idx="77">
                  <c:v>62.564100000000003</c:v>
                </c:pt>
                <c:pt idx="78">
                  <c:v>99.487200000000001</c:v>
                </c:pt>
                <c:pt idx="79">
                  <c:v>99.102599999999995</c:v>
                </c:pt>
                <c:pt idx="80">
                  <c:v>97.564099999999996</c:v>
                </c:pt>
                <c:pt idx="81">
                  <c:v>94.102599999999995</c:v>
                </c:pt>
                <c:pt idx="82">
                  <c:v>91.025599999999997</c:v>
                </c:pt>
                <c:pt idx="83">
                  <c:v>86.410300000000007</c:v>
                </c:pt>
                <c:pt idx="84">
                  <c:v>83.333299999999994</c:v>
                </c:pt>
                <c:pt idx="85">
                  <c:v>79.102599999999995</c:v>
                </c:pt>
                <c:pt idx="86">
                  <c:v>75.256399999999999</c:v>
                </c:pt>
                <c:pt idx="87">
                  <c:v>71.410300000000007</c:v>
                </c:pt>
                <c:pt idx="88">
                  <c:v>66.794899999999998</c:v>
                </c:pt>
                <c:pt idx="89">
                  <c:v>60.256399999999999</c:v>
                </c:pt>
                <c:pt idx="90">
                  <c:v>55.256399999999999</c:v>
                </c:pt>
                <c:pt idx="91">
                  <c:v>51.410299999999999</c:v>
                </c:pt>
                <c:pt idx="92">
                  <c:v>47.564100000000003</c:v>
                </c:pt>
                <c:pt idx="93">
                  <c:v>46.025599999999997</c:v>
                </c:pt>
                <c:pt idx="94">
                  <c:v>42.564100000000003</c:v>
                </c:pt>
                <c:pt idx="95">
                  <c:v>39.8718</c:v>
                </c:pt>
                <c:pt idx="96">
                  <c:v>36.794899999999998</c:v>
                </c:pt>
                <c:pt idx="97">
                  <c:v>33.718000000000004</c:v>
                </c:pt>
                <c:pt idx="98">
                  <c:v>40.640999999999998</c:v>
                </c:pt>
                <c:pt idx="99">
                  <c:v>38.333300000000001</c:v>
                </c:pt>
                <c:pt idx="100">
                  <c:v>33.718000000000004</c:v>
                </c:pt>
                <c:pt idx="101">
                  <c:v>29.102599999999999</c:v>
                </c:pt>
                <c:pt idx="102">
                  <c:v>25.256399999999999</c:v>
                </c:pt>
                <c:pt idx="103">
                  <c:v>24.102599999999999</c:v>
                </c:pt>
                <c:pt idx="104">
                  <c:v>22.948699999999999</c:v>
                </c:pt>
                <c:pt idx="105">
                  <c:v>22.948699999999999</c:v>
                </c:pt>
                <c:pt idx="106">
                  <c:v>22.179500000000001</c:v>
                </c:pt>
                <c:pt idx="107">
                  <c:v>20.256399999999999</c:v>
                </c:pt>
                <c:pt idx="108">
                  <c:v>19.102599999999999</c:v>
                </c:pt>
                <c:pt idx="109">
                  <c:v>19.102599999999999</c:v>
                </c:pt>
                <c:pt idx="110">
                  <c:v>18.333300000000001</c:v>
                </c:pt>
                <c:pt idx="111">
                  <c:v>18.333300000000001</c:v>
                </c:pt>
                <c:pt idx="112">
                  <c:v>18.333300000000001</c:v>
                </c:pt>
                <c:pt idx="113">
                  <c:v>17.5641</c:v>
                </c:pt>
                <c:pt idx="114">
                  <c:v>16.025600000000001</c:v>
                </c:pt>
                <c:pt idx="115">
                  <c:v>13.718</c:v>
                </c:pt>
                <c:pt idx="116">
                  <c:v>14.8718</c:v>
                </c:pt>
                <c:pt idx="117">
                  <c:v>14.8718</c:v>
                </c:pt>
                <c:pt idx="118">
                  <c:v>14.8718</c:v>
                </c:pt>
                <c:pt idx="119">
                  <c:v>14.102600000000001</c:v>
                </c:pt>
                <c:pt idx="120">
                  <c:v>12.5641</c:v>
                </c:pt>
                <c:pt idx="121">
                  <c:v>11.025600000000001</c:v>
                </c:pt>
                <c:pt idx="122">
                  <c:v>9.8718000000000004</c:v>
                </c:pt>
                <c:pt idx="123">
                  <c:v>6.0255999999999998</c:v>
                </c:pt>
                <c:pt idx="124">
                  <c:v>9.4871999999999996</c:v>
                </c:pt>
                <c:pt idx="125">
                  <c:v>10.256399999999999</c:v>
                </c:pt>
                <c:pt idx="126">
                  <c:v>10.256399999999999</c:v>
                </c:pt>
                <c:pt idx="127">
                  <c:v>10.641</c:v>
                </c:pt>
                <c:pt idx="128">
                  <c:v>10.641</c:v>
                </c:pt>
                <c:pt idx="129">
                  <c:v>10.641</c:v>
                </c:pt>
                <c:pt idx="130">
                  <c:v>10.641</c:v>
                </c:pt>
                <c:pt idx="131">
                  <c:v>10.641</c:v>
                </c:pt>
                <c:pt idx="132">
                  <c:v>10.641</c:v>
                </c:pt>
                <c:pt idx="133">
                  <c:v>8.718</c:v>
                </c:pt>
                <c:pt idx="134">
                  <c:v>5.2564000000000002</c:v>
                </c:pt>
                <c:pt idx="135">
                  <c:v>2.9487000000000001</c:v>
                </c:pt>
                <c:pt idx="136">
                  <c:v>25.769200000000001</c:v>
                </c:pt>
                <c:pt idx="137">
                  <c:v>25.384599999999999</c:v>
                </c:pt>
                <c:pt idx="138">
                  <c:v>41.538499999999999</c:v>
                </c:pt>
                <c:pt idx="139">
                  <c:v>95.769199999999998</c:v>
                </c:pt>
                <c:pt idx="140">
                  <c:v>95</c:v>
                </c:pt>
                <c:pt idx="141">
                  <c:v>92.692300000000003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9-ED42-9F62-DEC8691D9F26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1'!$I$154:$I$155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'Lab 1'!$J$154:$J$155</c:f>
              <c:numCache>
                <c:formatCode>General</c:formatCode>
                <c:ptCount val="2"/>
                <c:pt idx="0">
                  <c:v>53.452978449229199</c:v>
                </c:pt>
                <c:pt idx="1">
                  <c:v>43.094728205963591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9-ED42-9F62-DEC8691D9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0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1'!$D$129:$D$270</c:f>
              <c:numCache>
                <c:formatCode>0.00</c:formatCode>
                <c:ptCount val="142"/>
                <c:pt idx="0">
                  <c:v>55.993030151299997</c:v>
                </c:pt>
                <c:pt idx="1">
                  <c:v>50.032253794600003</c:v>
                </c:pt>
                <c:pt idx="2">
                  <c:v>51.288458659299998</c:v>
                </c:pt>
                <c:pt idx="3">
                  <c:v>51.170536887300003</c:v>
                </c:pt>
                <c:pt idx="4">
                  <c:v>44.377914528700003</c:v>
                </c:pt>
                <c:pt idx="5">
                  <c:v>45.010270072099999</c:v>
                </c:pt>
                <c:pt idx="6">
                  <c:v>48.559816718999997</c:v>
                </c:pt>
                <c:pt idx="7">
                  <c:v>42.142268292200001</c:v>
                </c:pt>
                <c:pt idx="8">
                  <c:v>41.026971573499999</c:v>
                </c:pt>
                <c:pt idx="9">
                  <c:v>34.575309011500003</c:v>
                </c:pt>
                <c:pt idx="10">
                  <c:v>31.168600723600001</c:v>
                </c:pt>
                <c:pt idx="11">
                  <c:v>32.644254071399999</c:v>
                </c:pt>
                <c:pt idx="12">
                  <c:v>26.666645653900002</c:v>
                </c:pt>
                <c:pt idx="13">
                  <c:v>26.459262327400001</c:v>
                </c:pt>
                <c:pt idx="14">
                  <c:v>25.538007646499999</c:v>
                </c:pt>
                <c:pt idx="15">
                  <c:v>26.320711193299999</c:v>
                </c:pt>
                <c:pt idx="16">
                  <c:v>26.1633874648</c:v>
                </c:pt>
                <c:pt idx="17">
                  <c:v>25.2137904611</c:v>
                </c:pt>
                <c:pt idx="18">
                  <c:v>26.859529560399999</c:v>
                </c:pt>
                <c:pt idx="19">
                  <c:v>31.7606691716</c:v>
                </c:pt>
                <c:pt idx="20">
                  <c:v>39.793290574399997</c:v>
                </c:pt>
                <c:pt idx="21">
                  <c:v>45.617439185400002</c:v>
                </c:pt>
                <c:pt idx="22">
                  <c:v>53.771460682700003</c:v>
                </c:pt>
                <c:pt idx="23">
                  <c:v>56.451433673300002</c:v>
                </c:pt>
                <c:pt idx="24">
                  <c:v>66.093720198900002</c:v>
                </c:pt>
                <c:pt idx="25">
                  <c:v>56.925839419399999</c:v>
                </c:pt>
                <c:pt idx="26">
                  <c:v>58.988253846699997</c:v>
                </c:pt>
                <c:pt idx="27">
                  <c:v>57.902266053300004</c:v>
                </c:pt>
                <c:pt idx="28">
                  <c:v>64.812866956799994</c:v>
                </c:pt>
                <c:pt idx="29">
                  <c:v>60.349793516600002</c:v>
                </c:pt>
                <c:pt idx="30">
                  <c:v>48.890555755999998</c:v>
                </c:pt>
                <c:pt idx="31">
                  <c:v>47.549506348000001</c:v>
                </c:pt>
                <c:pt idx="32">
                  <c:v>30.8894308257</c:v>
                </c:pt>
                <c:pt idx="33">
                  <c:v>28.972835723999999</c:v>
                </c:pt>
                <c:pt idx="34">
                  <c:v>35.161360752299998</c:v>
                </c:pt>
                <c:pt idx="35">
                  <c:v>45.870369168499998</c:v>
                </c:pt>
                <c:pt idx="36">
                  <c:v>32.831420607600002</c:v>
                </c:pt>
                <c:pt idx="37">
                  <c:v>39.485574789899999</c:v>
                </c:pt>
                <c:pt idx="38">
                  <c:v>33.446182931400003</c:v>
                </c:pt>
                <c:pt idx="39">
                  <c:v>21.863581275600001</c:v>
                </c:pt>
                <c:pt idx="40">
                  <c:v>25.165870844899999</c:v>
                </c:pt>
                <c:pt idx="41">
                  <c:v>22.9594789762</c:v>
                </c:pt>
                <c:pt idx="42">
                  <c:v>25.586055241499999</c:v>
                </c:pt>
                <c:pt idx="43">
                  <c:v>26.314310067200001</c:v>
                </c:pt>
                <c:pt idx="44">
                  <c:v>33.037301251000002</c:v>
                </c:pt>
                <c:pt idx="45">
                  <c:v>36.468889477200001</c:v>
                </c:pt>
                <c:pt idx="46">
                  <c:v>26.513553100900001</c:v>
                </c:pt>
                <c:pt idx="47">
                  <c:v>36.027091212499997</c:v>
                </c:pt>
                <c:pt idx="48">
                  <c:v>42.681040412900003</c:v>
                </c:pt>
                <c:pt idx="49">
                  <c:v>45.041077127299999</c:v>
                </c:pt>
                <c:pt idx="50">
                  <c:v>47.352416455700002</c:v>
                </c:pt>
                <c:pt idx="51">
                  <c:v>53.846194032200003</c:v>
                </c:pt>
                <c:pt idx="52">
                  <c:v>55.129639383499999</c:v>
                </c:pt>
                <c:pt idx="53">
                  <c:v>52.188119961699996</c:v>
                </c:pt>
                <c:pt idx="54">
                  <c:v>58.672663084500002</c:v>
                </c:pt>
                <c:pt idx="55">
                  <c:v>82.144311603700004</c:v>
                </c:pt>
                <c:pt idx="56">
                  <c:v>75.686571138299996</c:v>
                </c:pt>
                <c:pt idx="57">
                  <c:v>85.344964503</c:v>
                </c:pt>
                <c:pt idx="58">
                  <c:v>83.844653512700006</c:v>
                </c:pt>
                <c:pt idx="59">
                  <c:v>85.664760659999999</c:v>
                </c:pt>
                <c:pt idx="60">
                  <c:v>77.931004934000001</c:v>
                </c:pt>
                <c:pt idx="61">
                  <c:v>73.031833020899995</c:v>
                </c:pt>
                <c:pt idx="62">
                  <c:v>70.102804499900003</c:v>
                </c:pt>
                <c:pt idx="63">
                  <c:v>57.144694688900003</c:v>
                </c:pt>
                <c:pt idx="64">
                  <c:v>46.962461994199998</c:v>
                </c:pt>
                <c:pt idx="65">
                  <c:v>50.5649338128</c:v>
                </c:pt>
                <c:pt idx="66">
                  <c:v>53.719676569599997</c:v>
                </c:pt>
                <c:pt idx="67">
                  <c:v>54.200232322600002</c:v>
                </c:pt>
                <c:pt idx="68">
                  <c:v>47.875198343000001</c:v>
                </c:pt>
                <c:pt idx="69">
                  <c:v>51.473458514900003</c:v>
                </c:pt>
                <c:pt idx="70">
                  <c:v>52.751222216199999</c:v>
                </c:pt>
                <c:pt idx="71">
                  <c:v>48.562223004700002</c:v>
                </c:pt>
                <c:pt idx="72">
                  <c:v>53.081241690799999</c:v>
                </c:pt>
                <c:pt idx="73">
                  <c:v>56.475383374000003</c:v>
                </c:pt>
                <c:pt idx="74">
                  <c:v>49.570911404999997</c:v>
                </c:pt>
                <c:pt idx="75">
                  <c:v>37.627703299099998</c:v>
                </c:pt>
                <c:pt idx="76">
                  <c:v>32.263700086299998</c:v>
                </c:pt>
                <c:pt idx="77">
                  <c:v>32.542380336000001</c:v>
                </c:pt>
                <c:pt idx="78">
                  <c:v>52.825017192300002</c:v>
                </c:pt>
                <c:pt idx="79">
                  <c:v>58.528289540700001</c:v>
                </c:pt>
                <c:pt idx="80">
                  <c:v>56.265834263000002</c:v>
                </c:pt>
                <c:pt idx="81">
                  <c:v>57.075892419299997</c:v>
                </c:pt>
                <c:pt idx="82">
                  <c:v>54.256402380799997</c:v>
                </c:pt>
                <c:pt idx="83">
                  <c:v>62.685671247499997</c:v>
                </c:pt>
                <c:pt idx="84">
                  <c:v>68.085605861600001</c:v>
                </c:pt>
                <c:pt idx="85">
                  <c:v>65.118121963199997</c:v>
                </c:pt>
                <c:pt idx="86">
                  <c:v>68.745631297100005</c:v>
                </c:pt>
                <c:pt idx="87">
                  <c:v>63.090225141200001</c:v>
                </c:pt>
                <c:pt idx="88">
                  <c:v>77.204589320400004</c:v>
                </c:pt>
                <c:pt idx="89">
                  <c:v>82.033908475800004</c:v>
                </c:pt>
                <c:pt idx="90">
                  <c:v>81.577945918300003</c:v>
                </c:pt>
                <c:pt idx="91">
                  <c:v>85.180143280500005</c:v>
                </c:pt>
                <c:pt idx="92">
                  <c:v>84.286824993600007</c:v>
                </c:pt>
                <c:pt idx="93">
                  <c:v>85.622486712599994</c:v>
                </c:pt>
                <c:pt idx="94">
                  <c:v>85.604499015599998</c:v>
                </c:pt>
                <c:pt idx="95">
                  <c:v>84.424785827600004</c:v>
                </c:pt>
                <c:pt idx="96">
                  <c:v>85.570985078000007</c:v>
                </c:pt>
                <c:pt idx="97">
                  <c:v>84.626724200599995</c:v>
                </c:pt>
                <c:pt idx="98">
                  <c:v>73.396154925199994</c:v>
                </c:pt>
                <c:pt idx="99">
                  <c:v>73.507447733800007</c:v>
                </c:pt>
                <c:pt idx="100">
                  <c:v>63.356488113499999</c:v>
                </c:pt>
                <c:pt idx="101">
                  <c:v>72.959046872200005</c:v>
                </c:pt>
                <c:pt idx="102">
                  <c:v>64.020841646899996</c:v>
                </c:pt>
                <c:pt idx="103">
                  <c:v>61.124463241000001</c:v>
                </c:pt>
                <c:pt idx="104">
                  <c:v>75.674207329699996</c:v>
                </c:pt>
                <c:pt idx="105">
                  <c:v>69.513583157400006</c:v>
                </c:pt>
                <c:pt idx="106">
                  <c:v>58.572135466900001</c:v>
                </c:pt>
                <c:pt idx="107">
                  <c:v>70.981940986500007</c:v>
                </c:pt>
                <c:pt idx="108">
                  <c:v>65.223030397299993</c:v>
                </c:pt>
                <c:pt idx="109">
                  <c:v>65.315043909300002</c:v>
                </c:pt>
                <c:pt idx="110">
                  <c:v>64.010240677799999</c:v>
                </c:pt>
                <c:pt idx="111">
                  <c:v>57.140935929400001</c:v>
                </c:pt>
                <c:pt idx="112">
                  <c:v>56.365153255199999</c:v>
                </c:pt>
                <c:pt idx="113">
                  <c:v>43.046183241000001</c:v>
                </c:pt>
                <c:pt idx="114">
                  <c:v>52.081755558200001</c:v>
                </c:pt>
                <c:pt idx="115">
                  <c:v>42.879036515400003</c:v>
                </c:pt>
                <c:pt idx="116">
                  <c:v>51.566994802700002</c:v>
                </c:pt>
                <c:pt idx="117">
                  <c:v>58.839125121599999</c:v>
                </c:pt>
                <c:pt idx="118">
                  <c:v>60.755789137400001</c:v>
                </c:pt>
                <c:pt idx="119">
                  <c:v>54.761156118099997</c:v>
                </c:pt>
                <c:pt idx="120">
                  <c:v>53.569905000299997</c:v>
                </c:pt>
                <c:pt idx="121">
                  <c:v>48.914618241600003</c:v>
                </c:pt>
                <c:pt idx="122">
                  <c:v>52.646137306900002</c:v>
                </c:pt>
                <c:pt idx="123">
                  <c:v>49.838492990500001</c:v>
                </c:pt>
                <c:pt idx="124">
                  <c:v>52.684066400900001</c:v>
                </c:pt>
                <c:pt idx="125">
                  <c:v>65.807219034599996</c:v>
                </c:pt>
                <c:pt idx="126">
                  <c:v>60.673920923300003</c:v>
                </c:pt>
                <c:pt idx="127">
                  <c:v>63.394712865999999</c:v>
                </c:pt>
                <c:pt idx="128">
                  <c:v>64.802009446699998</c:v>
                </c:pt>
                <c:pt idx="129">
                  <c:v>65.025939808700002</c:v>
                </c:pt>
                <c:pt idx="130">
                  <c:v>65.755551540400006</c:v>
                </c:pt>
                <c:pt idx="131">
                  <c:v>69.967734124499998</c:v>
                </c:pt>
                <c:pt idx="132">
                  <c:v>68.892784024099996</c:v>
                </c:pt>
                <c:pt idx="133">
                  <c:v>61.826546557900002</c:v>
                </c:pt>
                <c:pt idx="134">
                  <c:v>60.787970080800001</c:v>
                </c:pt>
                <c:pt idx="135">
                  <c:v>61.915609637199999</c:v>
                </c:pt>
                <c:pt idx="136">
                  <c:v>45.028997533099997</c:v>
                </c:pt>
                <c:pt idx="137">
                  <c:v>39.921362808399998</c:v>
                </c:pt>
                <c:pt idx="138">
                  <c:v>84.794277875099993</c:v>
                </c:pt>
                <c:pt idx="139">
                  <c:v>55.662958744900003</c:v>
                </c:pt>
                <c:pt idx="140">
                  <c:v>50.492247513199999</c:v>
                </c:pt>
                <c:pt idx="141">
                  <c:v>51.467101141599997</c:v>
                </c:pt>
              </c:numCache>
            </c:numRef>
          </c:xVal>
          <c:yVal>
            <c:numRef>
              <c:f>'Lab 1'!$E$129:$E$270</c:f>
              <c:numCache>
                <c:formatCode>0.00</c:formatCode>
                <c:ptCount val="142"/>
                <c:pt idx="0">
                  <c:v>79.277263697699993</c:v>
                </c:pt>
                <c:pt idx="1">
                  <c:v>79.013071198999995</c:v>
                </c:pt>
                <c:pt idx="2">
                  <c:v>82.435939842500005</c:v>
                </c:pt>
                <c:pt idx="3">
                  <c:v>79.165294109100003</c:v>
                </c:pt>
                <c:pt idx="4">
                  <c:v>78.164628003600001</c:v>
                </c:pt>
                <c:pt idx="5">
                  <c:v>77.880863115300002</c:v>
                </c:pt>
                <c:pt idx="6">
                  <c:v>78.788370603499999</c:v>
                </c:pt>
                <c:pt idx="7">
                  <c:v>76.880634554400004</c:v>
                </c:pt>
                <c:pt idx="8">
                  <c:v>76.409588461300004</c:v>
                </c:pt>
                <c:pt idx="9">
                  <c:v>72.724841184499994</c:v>
                </c:pt>
                <c:pt idx="10">
                  <c:v>69.245421319299993</c:v>
                </c:pt>
                <c:pt idx="11">
                  <c:v>70.732555033400004</c:v>
                </c:pt>
                <c:pt idx="12">
                  <c:v>62.980971205199999</c:v>
                </c:pt>
                <c:pt idx="13">
                  <c:v>62.634673370900003</c:v>
                </c:pt>
                <c:pt idx="14">
                  <c:v>60.6302361093</c:v>
                </c:pt>
                <c:pt idx="15">
                  <c:v>62.396281118600001</c:v>
                </c:pt>
                <c:pt idx="16">
                  <c:v>62.0268148985</c:v>
                </c:pt>
                <c:pt idx="17">
                  <c:v>60.273398601799997</c:v>
                </c:pt>
                <c:pt idx="18">
                  <c:v>63.1418346727</c:v>
                </c:pt>
                <c:pt idx="19">
                  <c:v>69.797655393599996</c:v>
                </c:pt>
                <c:pt idx="20">
                  <c:v>75.807964216800002</c:v>
                </c:pt>
                <c:pt idx="21">
                  <c:v>78.119970227699994</c:v>
                </c:pt>
                <c:pt idx="22">
                  <c:v>79.302931643500003</c:v>
                </c:pt>
                <c:pt idx="23">
                  <c:v>79.247107020800001</c:v>
                </c:pt>
                <c:pt idx="24">
                  <c:v>77.017818260599995</c:v>
                </c:pt>
                <c:pt idx="25">
                  <c:v>79.206318622599994</c:v>
                </c:pt>
                <c:pt idx="26">
                  <c:v>78.917258955400001</c:v>
                </c:pt>
                <c:pt idx="27">
                  <c:v>79.0808678187</c:v>
                </c:pt>
                <c:pt idx="28">
                  <c:v>77.486938923500006</c:v>
                </c:pt>
                <c:pt idx="29">
                  <c:v>78.729445867300001</c:v>
                </c:pt>
                <c:pt idx="30">
                  <c:v>16.806543515400001</c:v>
                </c:pt>
                <c:pt idx="31">
                  <c:v>17.0714045245</c:v>
                </c:pt>
                <c:pt idx="32">
                  <c:v>26.329037234800001</c:v>
                </c:pt>
                <c:pt idx="33">
                  <c:v>29.050468918499998</c:v>
                </c:pt>
                <c:pt idx="34">
                  <c:v>22.786849647299999</c:v>
                </c:pt>
                <c:pt idx="35">
                  <c:v>17.4893933655</c:v>
                </c:pt>
                <c:pt idx="36">
                  <c:v>24.797538145899999</c:v>
                </c:pt>
                <c:pt idx="37">
                  <c:v>20.033050048900002</c:v>
                </c:pt>
                <c:pt idx="38">
                  <c:v>24.190643407500001</c:v>
                </c:pt>
                <c:pt idx="39">
                  <c:v>46.052593345699997</c:v>
                </c:pt>
                <c:pt idx="40">
                  <c:v>35.766613953899999</c:v>
                </c:pt>
                <c:pt idx="41">
                  <c:v>51.287706793399998</c:v>
                </c:pt>
                <c:pt idx="42">
                  <c:v>60.846583358499998</c:v>
                </c:pt>
                <c:pt idx="43">
                  <c:v>33.297168103799997</c:v>
                </c:pt>
                <c:pt idx="44">
                  <c:v>24.564462492099999</c:v>
                </c:pt>
                <c:pt idx="45">
                  <c:v>21.876114472499999</c:v>
                </c:pt>
                <c:pt idx="46">
                  <c:v>32.918749817799998</c:v>
                </c:pt>
                <c:pt idx="47">
                  <c:v>22.1954385395</c:v>
                </c:pt>
                <c:pt idx="48">
                  <c:v>18.542536197699999</c:v>
                </c:pt>
                <c:pt idx="49">
                  <c:v>17.734517730299999</c:v>
                </c:pt>
                <c:pt idx="50">
                  <c:v>17.134745426399999</c:v>
                </c:pt>
                <c:pt idx="51">
                  <c:v>16.3873180961</c:v>
                </c:pt>
                <c:pt idx="52">
                  <c:v>16.353246871100001</c:v>
                </c:pt>
                <c:pt idx="53">
                  <c:v>16.418217465200001</c:v>
                </c:pt>
                <c:pt idx="54">
                  <c:v>16.663372432199999</c:v>
                </c:pt>
                <c:pt idx="55">
                  <c:v>33.195221866899999</c:v>
                </c:pt>
                <c:pt idx="56">
                  <c:v>24.741510390799998</c:v>
                </c:pt>
                <c:pt idx="57">
                  <c:v>52.886419865999997</c:v>
                </c:pt>
                <c:pt idx="58">
                  <c:v>58.616060230499997</c:v>
                </c:pt>
                <c:pt idx="59">
                  <c:v>45.5427527692</c:v>
                </c:pt>
                <c:pt idx="60">
                  <c:v>68.690061880800002</c:v>
                </c:pt>
                <c:pt idx="61">
                  <c:v>73.120574730000001</c:v>
                </c:pt>
                <c:pt idx="62">
                  <c:v>75.683206854199994</c:v>
                </c:pt>
                <c:pt idx="63">
                  <c:v>79.194102592199997</c:v>
                </c:pt>
                <c:pt idx="64">
                  <c:v>78.666558996299997</c:v>
                </c:pt>
                <c:pt idx="65">
                  <c:v>79.077298552900004</c:v>
                </c:pt>
                <c:pt idx="66">
                  <c:v>79.306936167000003</c:v>
                </c:pt>
                <c:pt idx="67">
                  <c:v>79.325002335400001</c:v>
                </c:pt>
                <c:pt idx="68">
                  <c:v>78.675853429499995</c:v>
                </c:pt>
                <c:pt idx="69">
                  <c:v>79.159866996299996</c:v>
                </c:pt>
                <c:pt idx="70">
                  <c:v>79.293659934399997</c:v>
                </c:pt>
                <c:pt idx="71">
                  <c:v>78.782383527500002</c:v>
                </c:pt>
                <c:pt idx="72">
                  <c:v>79.297250765399994</c:v>
                </c:pt>
                <c:pt idx="73">
                  <c:v>79.167840097899997</c:v>
                </c:pt>
                <c:pt idx="74">
                  <c:v>79.038123883099999</c:v>
                </c:pt>
                <c:pt idx="75">
                  <c:v>74.557504341799998</c:v>
                </c:pt>
                <c:pt idx="76">
                  <c:v>70.316638901199994</c:v>
                </c:pt>
                <c:pt idx="77">
                  <c:v>70.702417206299998</c:v>
                </c:pt>
                <c:pt idx="78">
                  <c:v>85.578133879500001</c:v>
                </c:pt>
                <c:pt idx="79">
                  <c:v>78.978704254099995</c:v>
                </c:pt>
                <c:pt idx="80">
                  <c:v>79.252939485400006</c:v>
                </c:pt>
                <c:pt idx="81">
                  <c:v>79.193922538199999</c:v>
                </c:pt>
                <c:pt idx="82">
                  <c:v>79.313864850399995</c:v>
                </c:pt>
                <c:pt idx="83">
                  <c:v>78.174743271899999</c:v>
                </c:pt>
                <c:pt idx="84">
                  <c:v>76.112317500100005</c:v>
                </c:pt>
                <c:pt idx="85">
                  <c:v>77.399188454300003</c:v>
                </c:pt>
                <c:pt idx="86">
                  <c:v>75.790055454799997</c:v>
                </c:pt>
                <c:pt idx="87">
                  <c:v>78.041409494999996</c:v>
                </c:pt>
                <c:pt idx="88">
                  <c:v>69.312149765800001</c:v>
                </c:pt>
                <c:pt idx="89">
                  <c:v>62.681869785899998</c:v>
                </c:pt>
                <c:pt idx="90">
                  <c:v>63.894925500500001</c:v>
                </c:pt>
                <c:pt idx="91">
                  <c:v>53.781676660700001</c:v>
                </c:pt>
                <c:pt idx="92">
                  <c:v>57.256168089600003</c:v>
                </c:pt>
                <c:pt idx="93">
                  <c:v>45.0241658646</c:v>
                </c:pt>
                <c:pt idx="94">
                  <c:v>50.762337905499997</c:v>
                </c:pt>
                <c:pt idx="95">
                  <c:v>38.761410163999997</c:v>
                </c:pt>
                <c:pt idx="96">
                  <c:v>44.560096439699997</c:v>
                </c:pt>
                <c:pt idx="97">
                  <c:v>39.487077508399999</c:v>
                </c:pt>
                <c:pt idx="98">
                  <c:v>22.8162479426</c:v>
                </c:pt>
                <c:pt idx="99">
                  <c:v>22.8569887644</c:v>
                </c:pt>
                <c:pt idx="100">
                  <c:v>17.724068842400001</c:v>
                </c:pt>
                <c:pt idx="101">
                  <c:v>22.5114998325</c:v>
                </c:pt>
                <c:pt idx="102">
                  <c:v>17.883581252100001</c:v>
                </c:pt>
                <c:pt idx="103">
                  <c:v>17.116353359200001</c:v>
                </c:pt>
                <c:pt idx="104">
                  <c:v>24.782500965699999</c:v>
                </c:pt>
                <c:pt idx="105">
                  <c:v>20.279357892699998</c:v>
                </c:pt>
                <c:pt idx="106">
                  <c:v>16.642703808</c:v>
                </c:pt>
                <c:pt idx="107">
                  <c:v>21.145888103899999</c:v>
                </c:pt>
                <c:pt idx="108">
                  <c:v>18.397195122300001</c:v>
                </c:pt>
                <c:pt idx="109">
                  <c:v>18.3337482986</c:v>
                </c:pt>
                <c:pt idx="110">
                  <c:v>17.924478191199999</c:v>
                </c:pt>
                <c:pt idx="111">
                  <c:v>16.598610543700001</c:v>
                </c:pt>
                <c:pt idx="112">
                  <c:v>16.326546374199999</c:v>
                </c:pt>
                <c:pt idx="113">
                  <c:v>18.402559394800001</c:v>
                </c:pt>
                <c:pt idx="114">
                  <c:v>16.4538745312</c:v>
                </c:pt>
                <c:pt idx="115">
                  <c:v>18.489411025199999</c:v>
                </c:pt>
                <c:pt idx="116">
                  <c:v>16.4857136372</c:v>
                </c:pt>
                <c:pt idx="117">
                  <c:v>16.6376352154</c:v>
                </c:pt>
                <c:pt idx="118">
                  <c:v>17.0332315064</c:v>
                </c:pt>
                <c:pt idx="119">
                  <c:v>16.366189095399999</c:v>
                </c:pt>
                <c:pt idx="120">
                  <c:v>16.339712550600002</c:v>
                </c:pt>
                <c:pt idx="121">
                  <c:v>16.798637082599999</c:v>
                </c:pt>
                <c:pt idx="122">
                  <c:v>16.3848363836</c:v>
                </c:pt>
                <c:pt idx="123">
                  <c:v>16.6763302777</c:v>
                </c:pt>
                <c:pt idx="124">
                  <c:v>16.407962782599999</c:v>
                </c:pt>
                <c:pt idx="125">
                  <c:v>18.140764947299999</c:v>
                </c:pt>
                <c:pt idx="126">
                  <c:v>17.0518023644</c:v>
                </c:pt>
                <c:pt idx="127">
                  <c:v>17.700535135399999</c:v>
                </c:pt>
                <c:pt idx="128">
                  <c:v>18.216878633499999</c:v>
                </c:pt>
                <c:pt idx="129">
                  <c:v>18.287824500199999</c:v>
                </c:pt>
                <c:pt idx="130">
                  <c:v>18.516215830299998</c:v>
                </c:pt>
                <c:pt idx="131">
                  <c:v>20.5389887758</c:v>
                </c:pt>
                <c:pt idx="132">
                  <c:v>20.032448842899999</c:v>
                </c:pt>
                <c:pt idx="133">
                  <c:v>17.269655445200002</c:v>
                </c:pt>
                <c:pt idx="134">
                  <c:v>17.046204858300001</c:v>
                </c:pt>
                <c:pt idx="135">
                  <c:v>17.282191222800002</c:v>
                </c:pt>
                <c:pt idx="136">
                  <c:v>17.7244473049</c:v>
                </c:pt>
                <c:pt idx="137">
                  <c:v>19.701849528099999</c:v>
                </c:pt>
                <c:pt idx="138">
                  <c:v>55.568650373499999</c:v>
                </c:pt>
                <c:pt idx="139">
                  <c:v>83.356479624299993</c:v>
                </c:pt>
                <c:pt idx="140">
                  <c:v>78.997532065000001</c:v>
                </c:pt>
                <c:pt idx="141">
                  <c:v>79.201844577299994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C9-A144-BE59-4D86E4A8AA81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1'!$I$158:$I$159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'Lab 1'!$J$158:$J$159</c:f>
              <c:numCache>
                <c:formatCode>General</c:formatCode>
                <c:ptCount val="2"/>
                <c:pt idx="0">
                  <c:v>53.797044985054548</c:v>
                </c:pt>
                <c:pt idx="1">
                  <c:v>42.815615000853157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C9-A144-BE59-4D86E4A8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0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Calibri"/>
                <a:ea typeface="Calibri"/>
                <a:cs typeface="Calibri"/>
              </a:rPr>
              <a:t>seria10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 w="4763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'Lab 1'!$F$129:$F$270</c:f>
              <c:numCache>
                <c:formatCode>0.00</c:formatCode>
                <c:ptCount val="142"/>
                <c:pt idx="0">
                  <c:v>51.203891137299998</c:v>
                </c:pt>
                <c:pt idx="1">
                  <c:v>58.974469901799999</c:v>
                </c:pt>
                <c:pt idx="2">
                  <c:v>51.872072669600001</c:v>
                </c:pt>
                <c:pt idx="3">
                  <c:v>48.179930786500002</c:v>
                </c:pt>
                <c:pt idx="4">
                  <c:v>41.683200402399997</c:v>
                </c:pt>
                <c:pt idx="5">
                  <c:v>37.890415501500001</c:v>
                </c:pt>
                <c:pt idx="6">
                  <c:v>39.548973694700003</c:v>
                </c:pt>
                <c:pt idx="7">
                  <c:v>39.6495738769</c:v>
                </c:pt>
                <c:pt idx="8">
                  <c:v>34.750597047200003</c:v>
                </c:pt>
                <c:pt idx="9">
                  <c:v>27.560835291</c:v>
                </c:pt>
                <c:pt idx="10">
                  <c:v>24.6355399754</c:v>
                </c:pt>
                <c:pt idx="11">
                  <c:v>20.959464812499998</c:v>
                </c:pt>
                <c:pt idx="12">
                  <c:v>20.689149053800001</c:v>
                </c:pt>
                <c:pt idx="13">
                  <c:v>19.288204736899999</c:v>
                </c:pt>
                <c:pt idx="14">
                  <c:v>20.024500574600001</c:v>
                </c:pt>
                <c:pt idx="15">
                  <c:v>35.4695229971</c:v>
                </c:pt>
                <c:pt idx="16">
                  <c:v>36.894327650699999</c:v>
                </c:pt>
                <c:pt idx="17">
                  <c:v>39.055549775099998</c:v>
                </c:pt>
                <c:pt idx="18">
                  <c:v>46.957080149399999</c:v>
                </c:pt>
                <c:pt idx="19">
                  <c:v>37.310452735200002</c:v>
                </c:pt>
                <c:pt idx="20">
                  <c:v>40.0096720019</c:v>
                </c:pt>
                <c:pt idx="21">
                  <c:v>48.014386684599998</c:v>
                </c:pt>
                <c:pt idx="22">
                  <c:v>53.703775926799999</c:v>
                </c:pt>
                <c:pt idx="23">
                  <c:v>63.067499892100003</c:v>
                </c:pt>
                <c:pt idx="24">
                  <c:v>62.048032507599999</c:v>
                </c:pt>
                <c:pt idx="25">
                  <c:v>59.839966712399999</c:v>
                </c:pt>
                <c:pt idx="26">
                  <c:v>55.160941817500003</c:v>
                </c:pt>
                <c:pt idx="27">
                  <c:v>61.2797865792</c:v>
                </c:pt>
                <c:pt idx="28">
                  <c:v>60.834917534799999</c:v>
                </c:pt>
                <c:pt idx="29">
                  <c:v>61.520590645799999</c:v>
                </c:pt>
                <c:pt idx="30">
                  <c:v>36.916543863000001</c:v>
                </c:pt>
                <c:pt idx="31">
                  <c:v>38.5021996714</c:v>
                </c:pt>
                <c:pt idx="32">
                  <c:v>48.664370734400002</c:v>
                </c:pt>
                <c:pt idx="33">
                  <c:v>50.285252404200001</c:v>
                </c:pt>
                <c:pt idx="34">
                  <c:v>42.276332666000002</c:v>
                </c:pt>
                <c:pt idx="35">
                  <c:v>54.031775620399998</c:v>
                </c:pt>
                <c:pt idx="36">
                  <c:v>37.329355255199999</c:v>
                </c:pt>
                <c:pt idx="37">
                  <c:v>41.389522550999999</c:v>
                </c:pt>
                <c:pt idx="38">
                  <c:v>40.074666657199998</c:v>
                </c:pt>
                <c:pt idx="39">
                  <c:v>35.349680621099999</c:v>
                </c:pt>
                <c:pt idx="40">
                  <c:v>34.763700418900001</c:v>
                </c:pt>
                <c:pt idx="41">
                  <c:v>37.026629447200001</c:v>
                </c:pt>
                <c:pt idx="42">
                  <c:v>36.455569532699997</c:v>
                </c:pt>
                <c:pt idx="43">
                  <c:v>35.537664213100001</c:v>
                </c:pt>
                <c:pt idx="44">
                  <c:v>20.4089478892</c:v>
                </c:pt>
                <c:pt idx="45">
                  <c:v>23.4957104659</c:v>
                </c:pt>
                <c:pt idx="46">
                  <c:v>29.557543363400001</c:v>
                </c:pt>
                <c:pt idx="47">
                  <c:v>33.008233912100003</c:v>
                </c:pt>
                <c:pt idx="48">
                  <c:v>53.980399182100001</c:v>
                </c:pt>
                <c:pt idx="49">
                  <c:v>52.234308600399999</c:v>
                </c:pt>
                <c:pt idx="50">
                  <c:v>59.503076606299999</c:v>
                </c:pt>
                <c:pt idx="51">
                  <c:v>41.163781068900001</c:v>
                </c:pt>
                <c:pt idx="52">
                  <c:v>48.993040120099998</c:v>
                </c:pt>
                <c:pt idx="53">
                  <c:v>59.2692803248</c:v>
                </c:pt>
                <c:pt idx="54">
                  <c:v>45.4691770035</c:v>
                </c:pt>
                <c:pt idx="55">
                  <c:v>62.691266540599997</c:v>
                </c:pt>
                <c:pt idx="56">
                  <c:v>73.428670865399994</c:v>
                </c:pt>
                <c:pt idx="57">
                  <c:v>70.846426106999999</c:v>
                </c:pt>
                <c:pt idx="58">
                  <c:v>71.539019849499994</c:v>
                </c:pt>
                <c:pt idx="59">
                  <c:v>67.620865888400004</c:v>
                </c:pt>
                <c:pt idx="60">
                  <c:v>72.470952563300003</c:v>
                </c:pt>
                <c:pt idx="61">
                  <c:v>64.812237562099995</c:v>
                </c:pt>
                <c:pt idx="62">
                  <c:v>60.853679872699999</c:v>
                </c:pt>
                <c:pt idx="63">
                  <c:v>67.789496157100004</c:v>
                </c:pt>
                <c:pt idx="64">
                  <c:v>41.609557269100002</c:v>
                </c:pt>
                <c:pt idx="65">
                  <c:v>53.003025320200003</c:v>
                </c:pt>
                <c:pt idx="66">
                  <c:v>54.714171059100003</c:v>
                </c:pt>
                <c:pt idx="67">
                  <c:v>44.291668715699998</c:v>
                </c:pt>
                <c:pt idx="68">
                  <c:v>49.1917219555</c:v>
                </c:pt>
                <c:pt idx="69">
                  <c:v>53.101381781900002</c:v>
                </c:pt>
                <c:pt idx="70">
                  <c:v>51.599848153000003</c:v>
                </c:pt>
                <c:pt idx="71">
                  <c:v>54.379721948399997</c:v>
                </c:pt>
                <c:pt idx="72">
                  <c:v>46.480768104699997</c:v>
                </c:pt>
                <c:pt idx="73">
                  <c:v>53.174656268</c:v>
                </c:pt>
                <c:pt idx="74">
                  <c:v>45.272002940999997</c:v>
                </c:pt>
                <c:pt idx="75">
                  <c:v>36.033402150000001</c:v>
                </c:pt>
                <c:pt idx="76">
                  <c:v>28.271194165299999</c:v>
                </c:pt>
                <c:pt idx="77">
                  <c:v>25.054806084700001</c:v>
                </c:pt>
                <c:pt idx="78">
                  <c:v>64.758887001399998</c:v>
                </c:pt>
                <c:pt idx="79">
                  <c:v>63.144527476699999</c:v>
                </c:pt>
                <c:pt idx="80">
                  <c:v>50.424678689799997</c:v>
                </c:pt>
                <c:pt idx="81">
                  <c:v>70.644996262899994</c:v>
                </c:pt>
                <c:pt idx="82">
                  <c:v>63.149049083400001</c:v>
                </c:pt>
                <c:pt idx="83">
                  <c:v>62.824024517200002</c:v>
                </c:pt>
                <c:pt idx="84">
                  <c:v>70.236869514999995</c:v>
                </c:pt>
                <c:pt idx="85">
                  <c:v>70.042735244900001</c:v>
                </c:pt>
                <c:pt idx="86">
                  <c:v>72.570623445799995</c:v>
                </c:pt>
                <c:pt idx="87">
                  <c:v>75.130716037300004</c:v>
                </c:pt>
                <c:pt idx="88">
                  <c:v>83.293905734500001</c:v>
                </c:pt>
                <c:pt idx="89">
                  <c:v>79.664262277500001</c:v>
                </c:pt>
                <c:pt idx="90">
                  <c:v>88.432102525399998</c:v>
                </c:pt>
                <c:pt idx="91">
                  <c:v>89.115559008199995</c:v>
                </c:pt>
                <c:pt idx="92">
                  <c:v>89.092197630499996</c:v>
                </c:pt>
                <c:pt idx="93">
                  <c:v>91.726005772700006</c:v>
                </c:pt>
                <c:pt idx="94">
                  <c:v>91.735538759799994</c:v>
                </c:pt>
                <c:pt idx="95">
                  <c:v>91.5078881747</c:v>
                </c:pt>
                <c:pt idx="96">
                  <c:v>88.239001904000006</c:v>
                </c:pt>
                <c:pt idx="97">
                  <c:v>88.530519204100003</c:v>
                </c:pt>
                <c:pt idx="98">
                  <c:v>55.365160336400002</c:v>
                </c:pt>
                <c:pt idx="99">
                  <c:v>62.560258869400002</c:v>
                </c:pt>
                <c:pt idx="100">
                  <c:v>58.006669122700004</c:v>
                </c:pt>
                <c:pt idx="101">
                  <c:v>55.067117991700002</c:v>
                </c:pt>
                <c:pt idx="102">
                  <c:v>61.614775961200003</c:v>
                </c:pt>
                <c:pt idx="103">
                  <c:v>68.543143537800006</c:v>
                </c:pt>
                <c:pt idx="104">
                  <c:v>77.706109648699993</c:v>
                </c:pt>
                <c:pt idx="105">
                  <c:v>68.453045999899999</c:v>
                </c:pt>
                <c:pt idx="106">
                  <c:v>68.257206440199994</c:v>
                </c:pt>
                <c:pt idx="107">
                  <c:v>70.255474673899997</c:v>
                </c:pt>
                <c:pt idx="108">
                  <c:v>65.044325277799999</c:v>
                </c:pt>
                <c:pt idx="109">
                  <c:v>60.0922466078</c:v>
                </c:pt>
                <c:pt idx="110">
                  <c:v>52.992028966699998</c:v>
                </c:pt>
                <c:pt idx="111">
                  <c:v>50.144628977300002</c:v>
                </c:pt>
                <c:pt idx="112">
                  <c:v>46.508614193200003</c:v>
                </c:pt>
                <c:pt idx="113">
                  <c:v>43.807031961200003</c:v>
                </c:pt>
                <c:pt idx="114">
                  <c:v>57.817854686499999</c:v>
                </c:pt>
                <c:pt idx="115">
                  <c:v>50.940492659500002</c:v>
                </c:pt>
                <c:pt idx="116">
                  <c:v>63.4973230835</c:v>
                </c:pt>
                <c:pt idx="117">
                  <c:v>50.016482954099999</c:v>
                </c:pt>
                <c:pt idx="118">
                  <c:v>58.636765080899998</c:v>
                </c:pt>
                <c:pt idx="119">
                  <c:v>54.730289086299997</c:v>
                </c:pt>
                <c:pt idx="120">
                  <c:v>65.875547802300005</c:v>
                </c:pt>
                <c:pt idx="121">
                  <c:v>57.060982713100003</c:v>
                </c:pt>
                <c:pt idx="122">
                  <c:v>46.819907946000001</c:v>
                </c:pt>
                <c:pt idx="123">
                  <c:v>38.359394872499998</c:v>
                </c:pt>
                <c:pt idx="124">
                  <c:v>47.315415777299997</c:v>
                </c:pt>
                <c:pt idx="125">
                  <c:v>55.051916539600001</c:v>
                </c:pt>
                <c:pt idx="126">
                  <c:v>50.515960257899998</c:v>
                </c:pt>
                <c:pt idx="127">
                  <c:v>49.677414651399999</c:v>
                </c:pt>
                <c:pt idx="128">
                  <c:v>67.280659518799993</c:v>
                </c:pt>
                <c:pt idx="129">
                  <c:v>66.173018260600003</c:v>
                </c:pt>
                <c:pt idx="130">
                  <c:v>61.0885441374</c:v>
                </c:pt>
                <c:pt idx="131">
                  <c:v>66.053085773099994</c:v>
                </c:pt>
                <c:pt idx="132">
                  <c:v>72.669989265500007</c:v>
                </c:pt>
                <c:pt idx="133">
                  <c:v>61.503472502999998</c:v>
                </c:pt>
                <c:pt idx="134">
                  <c:v>68.995028632</c:v>
                </c:pt>
                <c:pt idx="135">
                  <c:v>78.249916165800002</c:v>
                </c:pt>
                <c:pt idx="136">
                  <c:v>36.481980569900003</c:v>
                </c:pt>
                <c:pt idx="137">
                  <c:v>50.967748378400003</c:v>
                </c:pt>
                <c:pt idx="138">
                  <c:v>91.191053605899995</c:v>
                </c:pt>
                <c:pt idx="139">
                  <c:v>55.863768493899997</c:v>
                </c:pt>
                <c:pt idx="140">
                  <c:v>49.280594798700001</c:v>
                </c:pt>
                <c:pt idx="141">
                  <c:v>43.368501544700003</c:v>
                </c:pt>
              </c:numCache>
            </c:numRef>
          </c:xVal>
          <c:yVal>
            <c:numRef>
              <c:f>'Lab 1'!$G$129:$G$270</c:f>
              <c:numCache>
                <c:formatCode>0.00</c:formatCode>
                <c:ptCount val="142"/>
                <c:pt idx="0">
                  <c:v>83.339776605300003</c:v>
                </c:pt>
                <c:pt idx="1">
                  <c:v>85.499817612000001</c:v>
                </c:pt>
                <c:pt idx="2">
                  <c:v>85.829737634799997</c:v>
                </c:pt>
                <c:pt idx="3">
                  <c:v>85.045116737200004</c:v>
                </c:pt>
                <c:pt idx="4">
                  <c:v>84.017940601899994</c:v>
                </c:pt>
                <c:pt idx="5">
                  <c:v>82.567492997800002</c:v>
                </c:pt>
                <c:pt idx="6">
                  <c:v>80.812601774000001</c:v>
                </c:pt>
                <c:pt idx="7">
                  <c:v>82.664533871299994</c:v>
                </c:pt>
                <c:pt idx="8">
                  <c:v>80.011090989699994</c:v>
                </c:pt>
                <c:pt idx="9">
                  <c:v>72.847825592700005</c:v>
                </c:pt>
                <c:pt idx="10">
                  <c:v>71.610714825599999</c:v>
                </c:pt>
                <c:pt idx="11">
                  <c:v>66.041498382599997</c:v>
                </c:pt>
                <c:pt idx="12">
                  <c:v>62.721305206399997</c:v>
                </c:pt>
                <c:pt idx="13">
                  <c:v>62.0630593582</c:v>
                </c:pt>
                <c:pt idx="14">
                  <c:v>61.342623869500002</c:v>
                </c:pt>
                <c:pt idx="15">
                  <c:v>43.115884951699996</c:v>
                </c:pt>
                <c:pt idx="16">
                  <c:v>47.706555968700002</c:v>
                </c:pt>
                <c:pt idx="17">
                  <c:v>55.546973713100002</c:v>
                </c:pt>
                <c:pt idx="18">
                  <c:v>65.240407393500007</c:v>
                </c:pt>
                <c:pt idx="19">
                  <c:v>45.258750899900001</c:v>
                </c:pt>
                <c:pt idx="20">
                  <c:v>60.9865825077</c:v>
                </c:pt>
                <c:pt idx="21">
                  <c:v>65.712819593399999</c:v>
                </c:pt>
                <c:pt idx="22">
                  <c:v>66.389482036299995</c:v>
                </c:pt>
                <c:pt idx="23">
                  <c:v>64.035000458100001</c:v>
                </c:pt>
                <c:pt idx="24">
                  <c:v>63.845863249399997</c:v>
                </c:pt>
                <c:pt idx="25">
                  <c:v>64.476764443700006</c:v>
                </c:pt>
                <c:pt idx="26">
                  <c:v>65.237308169399995</c:v>
                </c:pt>
                <c:pt idx="27">
                  <c:v>65.766402503999998</c:v>
                </c:pt>
                <c:pt idx="28">
                  <c:v>64.6037697063</c:v>
                </c:pt>
                <c:pt idx="29">
                  <c:v>64.791855041800005</c:v>
                </c:pt>
                <c:pt idx="30">
                  <c:v>41.095247438299999</c:v>
                </c:pt>
                <c:pt idx="31">
                  <c:v>41.567155617399997</c:v>
                </c:pt>
                <c:pt idx="32">
                  <c:v>30.6806668519</c:v>
                </c:pt>
                <c:pt idx="33">
                  <c:v>30.337922105099999</c:v>
                </c:pt>
                <c:pt idx="34">
                  <c:v>34.527636123599997</c:v>
                </c:pt>
                <c:pt idx="35">
                  <c:v>29.672348314899999</c:v>
                </c:pt>
                <c:pt idx="36">
                  <c:v>39.602042307399998</c:v>
                </c:pt>
                <c:pt idx="37">
                  <c:v>37.296056232799998</c:v>
                </c:pt>
                <c:pt idx="38">
                  <c:v>34.623685202700003</c:v>
                </c:pt>
                <c:pt idx="39">
                  <c:v>47.141073133200003</c:v>
                </c:pt>
                <c:pt idx="40">
                  <c:v>47.624799924500003</c:v>
                </c:pt>
                <c:pt idx="41">
                  <c:v>44.4622930512</c:v>
                </c:pt>
                <c:pt idx="42">
                  <c:v>40.791843032000003</c:v>
                </c:pt>
                <c:pt idx="43">
                  <c:v>48.7293868661</c:v>
                </c:pt>
                <c:pt idx="44">
                  <c:v>32.203030420499999</c:v>
                </c:pt>
                <c:pt idx="45">
                  <c:v>25.322468154199999</c:v>
                </c:pt>
                <c:pt idx="46">
                  <c:v>21.364777459100001</c:v>
                </c:pt>
                <c:pt idx="47">
                  <c:v>15.9850714584</c:v>
                </c:pt>
                <c:pt idx="48">
                  <c:v>29.350986709200001</c:v>
                </c:pt>
                <c:pt idx="49">
                  <c:v>29.711672986500002</c:v>
                </c:pt>
                <c:pt idx="50">
                  <c:v>30.6696739448</c:v>
                </c:pt>
                <c:pt idx="51">
                  <c:v>34.315758251399998</c:v>
                </c:pt>
                <c:pt idx="52">
                  <c:v>32.030358836300003</c:v>
                </c:pt>
                <c:pt idx="53">
                  <c:v>29.640701765399999</c:v>
                </c:pt>
                <c:pt idx="54">
                  <c:v>33.831192732300003</c:v>
                </c:pt>
                <c:pt idx="55">
                  <c:v>30.2903738312</c:v>
                </c:pt>
                <c:pt idx="56">
                  <c:v>48.577855130300001</c:v>
                </c:pt>
                <c:pt idx="57">
                  <c:v>52.282253331</c:v>
                </c:pt>
                <c:pt idx="58">
                  <c:v>45.521806158799997</c:v>
                </c:pt>
                <c:pt idx="59">
                  <c:v>38.006558465799998</c:v>
                </c:pt>
                <c:pt idx="60">
                  <c:v>51.122134824100002</c:v>
                </c:pt>
                <c:pt idx="61">
                  <c:v>62.810915587300002</c:v>
                </c:pt>
                <c:pt idx="62">
                  <c:v>65.499147032699994</c:v>
                </c:pt>
                <c:pt idx="63">
                  <c:v>61.3637015467</c:v>
                </c:pt>
                <c:pt idx="64">
                  <c:v>83.848686555900002</c:v>
                </c:pt>
                <c:pt idx="65">
                  <c:v>84.674798601199996</c:v>
                </c:pt>
                <c:pt idx="66">
                  <c:v>84.043128073399998</c:v>
                </c:pt>
                <c:pt idx="67">
                  <c:v>82.909441214400005</c:v>
                </c:pt>
                <c:pt idx="68">
                  <c:v>85.876229122400005</c:v>
                </c:pt>
                <c:pt idx="69">
                  <c:v>84.5476586881</c:v>
                </c:pt>
                <c:pt idx="70">
                  <c:v>84.819821489800006</c:v>
                </c:pt>
                <c:pt idx="71">
                  <c:v>84.240355549399993</c:v>
                </c:pt>
                <c:pt idx="72">
                  <c:v>83.518211665999999</c:v>
                </c:pt>
                <c:pt idx="73">
                  <c:v>84.260567987599998</c:v>
                </c:pt>
                <c:pt idx="74">
                  <c:v>85.237079419500006</c:v>
                </c:pt>
                <c:pt idx="75">
                  <c:v>53.371687755000004</c:v>
                </c:pt>
                <c:pt idx="76">
                  <c:v>72.840231256999999</c:v>
                </c:pt>
                <c:pt idx="77">
                  <c:v>71.548597922100001</c:v>
                </c:pt>
                <c:pt idx="78">
                  <c:v>82.315223640499994</c:v>
                </c:pt>
                <c:pt idx="79">
                  <c:v>85.236696326399993</c:v>
                </c:pt>
                <c:pt idx="80">
                  <c:v>85.174747589099994</c:v>
                </c:pt>
                <c:pt idx="81">
                  <c:v>82.430918756699995</c:v>
                </c:pt>
                <c:pt idx="82">
                  <c:v>83.946855348499994</c:v>
                </c:pt>
                <c:pt idx="83">
                  <c:v>84.966185950699995</c:v>
                </c:pt>
                <c:pt idx="84">
                  <c:v>82.171151062099995</c:v>
                </c:pt>
                <c:pt idx="85">
                  <c:v>80.385021354700001</c:v>
                </c:pt>
                <c:pt idx="86">
                  <c:v>80.971218434600004</c:v>
                </c:pt>
                <c:pt idx="87">
                  <c:v>79.984093140300004</c:v>
                </c:pt>
                <c:pt idx="88">
                  <c:v>70.778431787599999</c:v>
                </c:pt>
                <c:pt idx="89">
                  <c:v>73.932309715700001</c:v>
                </c:pt>
                <c:pt idx="90">
                  <c:v>64.624247002299995</c:v>
                </c:pt>
                <c:pt idx="91">
                  <c:v>64.001506638799995</c:v>
                </c:pt>
                <c:pt idx="92">
                  <c:v>57.768193046999997</c:v>
                </c:pt>
                <c:pt idx="93">
                  <c:v>52.623353257300003</c:v>
                </c:pt>
                <c:pt idx="94">
                  <c:v>48.970210887699999</c:v>
                </c:pt>
                <c:pt idx="95">
                  <c:v>53.312652085099998</c:v>
                </c:pt>
                <c:pt idx="96">
                  <c:v>31.4774348786</c:v>
                </c:pt>
                <c:pt idx="97">
                  <c:v>30.4760310098</c:v>
                </c:pt>
                <c:pt idx="98">
                  <c:v>30.4458502777</c:v>
                </c:pt>
                <c:pt idx="99">
                  <c:v>30.447135666099999</c:v>
                </c:pt>
                <c:pt idx="100">
                  <c:v>30.2537212987</c:v>
                </c:pt>
                <c:pt idx="101">
                  <c:v>29.011535199699999</c:v>
                </c:pt>
                <c:pt idx="102">
                  <c:v>29.994391194199999</c:v>
                </c:pt>
                <c:pt idx="103">
                  <c:v>35.657832170600003</c:v>
                </c:pt>
                <c:pt idx="104">
                  <c:v>20.3042601852</c:v>
                </c:pt>
                <c:pt idx="105">
                  <c:v>13.0355285908</c:v>
                </c:pt>
                <c:pt idx="106">
                  <c:v>12.3846391542</c:v>
                </c:pt>
                <c:pt idx="107">
                  <c:v>13.250384968900001</c:v>
                </c:pt>
                <c:pt idx="108">
                  <c:v>11.0008414785</c:v>
                </c:pt>
                <c:pt idx="109">
                  <c:v>11.8721117093</c:v>
                </c:pt>
                <c:pt idx="110">
                  <c:v>9.9066684833499998</c:v>
                </c:pt>
                <c:pt idx="111">
                  <c:v>12.2115430946</c:v>
                </c:pt>
                <c:pt idx="112">
                  <c:v>11.207134488099999</c:v>
                </c:pt>
                <c:pt idx="113">
                  <c:v>11.318944886500001</c:v>
                </c:pt>
                <c:pt idx="114">
                  <c:v>10.945142430600001</c:v>
                </c:pt>
                <c:pt idx="115">
                  <c:v>9.6915471344699995</c:v>
                </c:pt>
                <c:pt idx="116">
                  <c:v>11.914069170699999</c:v>
                </c:pt>
                <c:pt idx="117">
                  <c:v>11.9338520864</c:v>
                </c:pt>
                <c:pt idx="118">
                  <c:v>11.974721065200001</c:v>
                </c:pt>
                <c:pt idx="119">
                  <c:v>11.4128826732</c:v>
                </c:pt>
                <c:pt idx="120">
                  <c:v>11.7324363627</c:v>
                </c:pt>
                <c:pt idx="121">
                  <c:v>9.9205608544399997</c:v>
                </c:pt>
                <c:pt idx="122">
                  <c:v>10.4946526804</c:v>
                </c:pt>
                <c:pt idx="123">
                  <c:v>13.431322624</c:v>
                </c:pt>
                <c:pt idx="124">
                  <c:v>12.853451784000001</c:v>
                </c:pt>
                <c:pt idx="125">
                  <c:v>11.949988618100001</c:v>
                </c:pt>
                <c:pt idx="126">
                  <c:v>9.7655916218699996</c:v>
                </c:pt>
                <c:pt idx="127">
                  <c:v>10.383132508299999</c:v>
                </c:pt>
                <c:pt idx="128">
                  <c:v>14.128651532299999</c:v>
                </c:pt>
                <c:pt idx="129">
                  <c:v>12.0379170217</c:v>
                </c:pt>
                <c:pt idx="130">
                  <c:v>10.0845344144</c:v>
                </c:pt>
                <c:pt idx="131">
                  <c:v>13.380226007299999</c:v>
                </c:pt>
                <c:pt idx="132">
                  <c:v>15.2342259409</c:v>
                </c:pt>
                <c:pt idx="133">
                  <c:v>10.828414475400001</c:v>
                </c:pt>
                <c:pt idx="134">
                  <c:v>13.9943105293</c:v>
                </c:pt>
                <c:pt idx="135">
                  <c:v>17.883240906800001</c:v>
                </c:pt>
                <c:pt idx="136">
                  <c:v>15.162760094399999</c:v>
                </c:pt>
                <c:pt idx="137">
                  <c:v>29.679774287499999</c:v>
                </c:pt>
                <c:pt idx="138">
                  <c:v>46.6743428399</c:v>
                </c:pt>
                <c:pt idx="139">
                  <c:v>85.336486757299994</c:v>
                </c:pt>
                <c:pt idx="140">
                  <c:v>84.048822830600002</c:v>
                </c:pt>
                <c:pt idx="141">
                  <c:v>84.332177203900002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D-FB4B-A8A2-810396C8D584}"/>
            </c:ext>
          </c:extLst>
        </c:ser>
        <c:ser>
          <c:idx val="1"/>
          <c:order val="1"/>
          <c:tx>
            <c:v>Regresja liniowa</c:v>
          </c:tx>
          <c:marker>
            <c:symbol val="none"/>
          </c:marker>
          <c:xVal>
            <c:numRef>
              <c:f>'Lab 1'!$I$162:$I$163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'Lab 1'!$J$162:$J$163</c:f>
              <c:numCache>
                <c:formatCode>General</c:formatCode>
                <c:ptCount val="2"/>
                <c:pt idx="0">
                  <c:v>53.809470811364903</c:v>
                </c:pt>
                <c:pt idx="1">
                  <c:v>42.792725710306385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7D-FB4B-A8A2-810396C8D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0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9</xdr:col>
      <xdr:colOff>0</xdr:colOff>
      <xdr:row>46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18</xdr:col>
      <xdr:colOff>0</xdr:colOff>
      <xdr:row>46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9</xdr:col>
      <xdr:colOff>0</xdr:colOff>
      <xdr:row>74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18</xdr:col>
      <xdr:colOff>0</xdr:colOff>
      <xdr:row>74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6</xdr:col>
      <xdr:colOff>0</xdr:colOff>
      <xdr:row>105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85</xdr:row>
      <xdr:rowOff>0</xdr:rowOff>
    </xdr:from>
    <xdr:to>
      <xdr:col>12</xdr:col>
      <xdr:colOff>0</xdr:colOff>
      <xdr:row>105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85</xdr:row>
      <xdr:rowOff>0</xdr:rowOff>
    </xdr:from>
    <xdr:to>
      <xdr:col>18</xdr:col>
      <xdr:colOff>0</xdr:colOff>
      <xdr:row>105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2"/>
  <sheetViews>
    <sheetView showGridLines="0" tabSelected="1" zoomScale="90" zoomScaleNormal="90" workbookViewId="0">
      <selection activeCell="M8" sqref="M8"/>
    </sheetView>
  </sheetViews>
  <sheetFormatPr baseColWidth="10" defaultColWidth="8.83203125" defaultRowHeight="14"/>
  <cols>
    <col min="1" max="18" width="10" customWidth="1"/>
  </cols>
  <sheetData>
    <row r="1" spans="1:18" ht="20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0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0" customHeight="1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" customHeight="1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0" customHeight="1">
      <c r="A7" s="4" t="s">
        <v>11</v>
      </c>
      <c r="B7" s="7">
        <f>AVERAGE('Lab 1'!$B$113:$B$123)</f>
        <v>9</v>
      </c>
      <c r="C7" s="7">
        <f>AVERAGE('Lab 1'!$C$113:$C$123)</f>
        <v>7.5009090909090927</v>
      </c>
      <c r="D7" s="7">
        <f>_xlfn.VAR.S('Lab 1'!$B$113:$B$123)</f>
        <v>11</v>
      </c>
      <c r="E7" s="7">
        <f>_xlfn.VAR.S('Lab 1'!$C$113:$C$123)</f>
        <v>4.1272690909090439</v>
      </c>
      <c r="F7" s="7">
        <f>CORREL('Lab 1'!$B$113:$B$123,'Lab 1'!$C$113:$C$123)</f>
        <v>0.81642051634483992</v>
      </c>
      <c r="G7" s="7">
        <f>INTERCEPT('Lab 1'!$C$113:$C$123,'Lab 1'!$B$113:$B$123)</f>
        <v>3.0000909090909103</v>
      </c>
      <c r="H7" s="7">
        <f>SLOPE('Lab 1'!$C$113:$C$123,'Lab 1'!$B$113:$B$123)</f>
        <v>0.50009090909090914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0" customHeight="1">
      <c r="A8" s="4" t="s">
        <v>12</v>
      </c>
      <c r="B8" s="7">
        <f>AVERAGE('Lab 1'!$D$113:$D$123)</f>
        <v>9</v>
      </c>
      <c r="C8" s="7">
        <f>AVERAGE('Lab 1'!$E$113:$E$123)</f>
        <v>7.500909090909091</v>
      </c>
      <c r="D8" s="7">
        <f>_xlfn.VAR.S('Lab 1'!$D$113:$D$123)</f>
        <v>11</v>
      </c>
      <c r="E8" s="7">
        <f>_xlfn.VAR.S('Lab 1'!$E$113:$E$123)</f>
        <v>4.1276290909090791</v>
      </c>
      <c r="F8" s="7">
        <f>CORREL('Lab 1'!$D$113:$D$123,'Lab 1'!$E$113:$E$123)</f>
        <v>0.81623650600024267</v>
      </c>
      <c r="G8" s="7">
        <f>INTERCEPT('Lab 1'!$E$113:$E$123,'Lab 1'!$D$113:$D$123)</f>
        <v>3.000909090909091</v>
      </c>
      <c r="H8" s="7">
        <f>SLOPE('Lab 1'!$E$113:$E$123,'Lab 1'!$D$113:$D$123)</f>
        <v>0.5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0" customHeight="1">
      <c r="A9" s="4" t="s">
        <v>13</v>
      </c>
      <c r="B9" s="7">
        <f>AVERAGE('Lab 1'!$F$113:$F$123)</f>
        <v>9</v>
      </c>
      <c r="C9" s="7">
        <f>AVERAGE('Lab 1'!$G$113:$G$123)</f>
        <v>7.5000000000000009</v>
      </c>
      <c r="D9" s="7">
        <f>_xlfn.VAR.S('Lab 1'!$F$113:$F$123)</f>
        <v>11</v>
      </c>
      <c r="E9" s="7">
        <f>_xlfn.VAR.S('Lab 1'!$G$113:$G$123)</f>
        <v>4.1226199999999835</v>
      </c>
      <c r="F9" s="7">
        <f>CORREL('Lab 1'!$F$113:$F$123,'Lab 1'!$G$113:$G$123)</f>
        <v>0.81628673948959818</v>
      </c>
      <c r="G9" s="7">
        <f>INTERCEPT('Lab 1'!$G$113:$G$123,'Lab 1'!$F$113:$F$123)</f>
        <v>3.0024545454545466</v>
      </c>
      <c r="H9" s="7">
        <f>SLOPE('Lab 1'!$G$113:$G$123,'Lab 1'!$F$113:$F$123)</f>
        <v>0.49972727272727274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0" customHeight="1">
      <c r="A10" s="4" t="s">
        <v>14</v>
      </c>
      <c r="B10" s="7">
        <f>AVERAGE('Lab 1'!$H$113:$H$123)</f>
        <v>9</v>
      </c>
      <c r="C10" s="7">
        <f>AVERAGE('Lab 1'!$I$113:$I$123)</f>
        <v>7.5009090909090901</v>
      </c>
      <c r="D10" s="7">
        <f>_xlfn.VAR.S('Lab 1'!$H$113:$H$123)</f>
        <v>11</v>
      </c>
      <c r="E10" s="7">
        <f>_xlfn.VAR.S('Lab 1'!$I$113:$I$123)</f>
        <v>4.1232490909090869</v>
      </c>
      <c r="F10" s="7">
        <f>CORREL('Lab 1'!$H$113:$H$123,'Lab 1'!$I$113:$I$123)</f>
        <v>0.81652143688850276</v>
      </c>
      <c r="G10" s="7">
        <f>INTERCEPT('Lab 1'!$I$113:$I$123,'Lab 1'!$H$113:$H$123)</f>
        <v>3.0017272727272726</v>
      </c>
      <c r="H10" s="7">
        <f>SLOPE('Lab 1'!$I$113:$I$123,'Lab 1'!$H$113:$H$123)</f>
        <v>0.49990909090909086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0" customHeight="1">
      <c r="A49" s="3" t="s">
        <v>15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4" customHeight="1">
      <c r="A51" s="5" t="s">
        <v>16</v>
      </c>
      <c r="B51" s="5" t="s">
        <v>17</v>
      </c>
      <c r="C51" s="1"/>
      <c r="D51" s="1"/>
      <c r="E51" s="1"/>
      <c r="F51" s="5" t="s">
        <v>18</v>
      </c>
      <c r="G51" s="5" t="s">
        <v>19</v>
      </c>
      <c r="H51" s="5" t="s">
        <v>9</v>
      </c>
      <c r="I51" s="5" t="s">
        <v>10</v>
      </c>
      <c r="J51" s="5" t="s">
        <v>20</v>
      </c>
      <c r="K51" s="1"/>
      <c r="L51" s="1"/>
      <c r="M51" s="1"/>
      <c r="N51" s="1"/>
      <c r="O51" s="1"/>
      <c r="P51" s="1"/>
      <c r="Q51" s="1"/>
      <c r="R51" s="1"/>
    </row>
    <row r="52" spans="1:18" ht="20" customHeight="1">
      <c r="A52" s="1" t="s">
        <v>21</v>
      </c>
      <c r="B52" s="1">
        <v>555</v>
      </c>
      <c r="C52" s="1"/>
      <c r="D52" s="1"/>
      <c r="E52" s="1"/>
      <c r="F52" s="4" t="s">
        <v>22</v>
      </c>
      <c r="G52" s="1">
        <f>COUNT('Lab 1'!$F$113:$F$123)</f>
        <v>11</v>
      </c>
      <c r="H52" s="7">
        <f>INTERCEPT('Lab 1'!$G$113:$G$123,'Lab 1'!$F$113:$F$123)</f>
        <v>3.0024545454545466</v>
      </c>
      <c r="I52" s="7">
        <f>SLOPE('Lab 1'!$G$113:$G$123,'Lab 1'!$F$113:$F$123)</f>
        <v>0.49972727272727274</v>
      </c>
      <c r="J52" s="8">
        <f>RSQ('Lab 1'!$G$113:$G$123,'Lab 1'!$F$113:$F$123)</f>
        <v>0.66632404106655907</v>
      </c>
      <c r="K52" s="1"/>
      <c r="L52" s="1"/>
      <c r="M52" s="1"/>
      <c r="N52" s="1"/>
      <c r="O52" s="1"/>
      <c r="P52" s="1"/>
      <c r="Q52" s="1"/>
      <c r="R52" s="1"/>
    </row>
    <row r="53" spans="1:18" ht="20" customHeight="1">
      <c r="A53" s="1" t="s">
        <v>23</v>
      </c>
      <c r="B53" s="1">
        <v>1470</v>
      </c>
      <c r="C53" s="1"/>
      <c r="D53" s="1"/>
      <c r="E53" s="1"/>
      <c r="F53" s="4" t="s">
        <v>24</v>
      </c>
      <c r="G53" s="1">
        <f>COUNT('Lab 1'!$K$113:$K$122)</f>
        <v>10</v>
      </c>
      <c r="H53" s="7">
        <f>INTERCEPT('Lab 1'!$L$113:$L$122,'Lab 1'!$K$113:$K$122)</f>
        <v>4.0056493506493496</v>
      </c>
      <c r="I53" s="7">
        <f>SLOPE('Lab 1'!$L$113:$L$122,'Lab 1'!$K$113:$K$122)</f>
        <v>0.34538961038961041</v>
      </c>
      <c r="J53" s="8">
        <f>RSQ('Lab 1'!$L$113:$L$122,'Lab 1'!$K$113:$K$122)</f>
        <v>0.99999310758153348</v>
      </c>
      <c r="K53" s="1"/>
      <c r="L53" s="1"/>
      <c r="M53" s="1"/>
      <c r="N53" s="1"/>
      <c r="O53" s="1"/>
      <c r="P53" s="1"/>
      <c r="Q53" s="1"/>
      <c r="R53" s="1"/>
    </row>
    <row r="54" spans="1:18" ht="20" customHeight="1">
      <c r="A54" s="1" t="s">
        <v>25</v>
      </c>
      <c r="B54" s="1">
        <v>3033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0" customHeight="1">
      <c r="A56" s="4" t="s">
        <v>26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0" customHeight="1">
      <c r="A78" s="3" t="s">
        <v>27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>
      <c r="A80" s="5" t="s">
        <v>3</v>
      </c>
      <c r="B80" s="5" t="s">
        <v>4</v>
      </c>
      <c r="C80" s="5" t="s">
        <v>5</v>
      </c>
      <c r="D80" s="5" t="s">
        <v>6</v>
      </c>
      <c r="E80" s="5" t="s">
        <v>7</v>
      </c>
      <c r="F80" s="5" t="s">
        <v>8</v>
      </c>
      <c r="G80" s="5" t="s">
        <v>9</v>
      </c>
      <c r="H80" s="5" t="s">
        <v>10</v>
      </c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0" customHeight="1">
      <c r="A81" s="4" t="s">
        <v>28</v>
      </c>
      <c r="B81" s="7">
        <f>AVERAGE('Lab 1'!$B$129:$B$270)</f>
        <v>54.263273239436643</v>
      </c>
      <c r="C81" s="7">
        <f>AVERAGE('Lab 1'!$C$129:$C$270)</f>
        <v>47.832252816901374</v>
      </c>
      <c r="D81" s="7">
        <f>_xlfn.VAR.S('Lab 1'!$B$129:$B$270)</f>
        <v>281.06998759175769</v>
      </c>
      <c r="E81" s="7">
        <f>_xlfn.VAR.S('Lab 1'!$C$129:$C$270)</f>
        <v>725.51596100421591</v>
      </c>
      <c r="F81" s="7">
        <f>CORREL('Lab 1'!$B$129:$B$270,'Lab 1'!$C$129:$C$270)</f>
        <v>-6.4471852700951668E-2</v>
      </c>
      <c r="G81" s="7">
        <f>INTERCEPT('Lab 1'!$C$129:$C$270,'Lab 1'!$B$129:$B$270)</f>
        <v>53.452978449229199</v>
      </c>
      <c r="H81" s="7">
        <f>SLOPE('Lab 1'!$C$129:$C$270,'Lab 1'!$B$129:$B$270)</f>
        <v>-0.10358250243265607</v>
      </c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0" customHeight="1">
      <c r="A82" s="4" t="s">
        <v>29</v>
      </c>
      <c r="B82" s="7">
        <f>AVERAGE('Lab 1'!$D$129:$D$270)</f>
        <v>54.26731970617395</v>
      </c>
      <c r="C82" s="7">
        <f>AVERAGE('Lab 1'!$E$129:$E$270)</f>
        <v>47.837717267218331</v>
      </c>
      <c r="D82" s="7">
        <f>_xlfn.VAR.S('Lab 1'!$D$129:$D$270)</f>
        <v>280.89802435237181</v>
      </c>
      <c r="E82" s="7">
        <f>_xlfn.VAR.S('Lab 1'!$E$129:$E$270)</f>
        <v>725.22684369184378</v>
      </c>
      <c r="F82" s="7">
        <f>CORREL('Lab 1'!$D$129:$D$270,'Lab 1'!$E$129:$E$270)</f>
        <v>-6.8343356450120268E-2</v>
      </c>
      <c r="G82" s="7">
        <f>INTERCEPT('Lab 1'!$E$129:$E$270,'Lab 1'!$D$129:$D$270)</f>
        <v>53.797044985054548</v>
      </c>
      <c r="H82" s="7">
        <f>SLOPE('Lab 1'!$E$129:$E$270,'Lab 1'!$D$129:$D$270)</f>
        <v>-0.10981429984201392</v>
      </c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0" customHeight="1">
      <c r="A83" s="4" t="s">
        <v>30</v>
      </c>
      <c r="B83" s="7">
        <f>AVERAGE('Lab 1'!$F$129:$F$270)</f>
        <v>54.268730022378861</v>
      </c>
      <c r="C83" s="7">
        <f>AVERAGE('Lab 1'!$G$129:$G$270)</f>
        <v>47.830823155217807</v>
      </c>
      <c r="D83" s="7">
        <f>_xlfn.VAR.S('Lab 1'!$F$129:$F$270)</f>
        <v>281.20739318790567</v>
      </c>
      <c r="E83" s="7">
        <f>_xlfn.VAR.S('Lab 1'!$G$129:$G$270)</f>
        <v>725.53337231223759</v>
      </c>
      <c r="F83" s="7">
        <f>CORREL('Lab 1'!$F$129:$F$270,'Lab 1'!$G$129:$G$270)</f>
        <v>-6.8586394257948421E-2</v>
      </c>
      <c r="G83" s="7">
        <f>INTERCEPT('Lab 1'!$G$129:$G$270,'Lab 1'!$F$129:$F$270)</f>
        <v>53.809470811364903</v>
      </c>
      <c r="H83" s="7">
        <f>SLOPE('Lab 1'!$G$129:$G$270,'Lab 1'!$F$129:$F$270)</f>
        <v>-0.11016745101058519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0" customHeight="1">
      <c r="A110" s="3" t="s">
        <v>31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4" customHeight="1">
      <c r="A112" s="5" t="s">
        <v>32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  <c r="H112" s="5" t="s">
        <v>39</v>
      </c>
      <c r="I112" s="5" t="s">
        <v>40</v>
      </c>
      <c r="J112" s="1"/>
      <c r="K112" s="5" t="s">
        <v>41</v>
      </c>
      <c r="L112" s="5" t="s">
        <v>42</v>
      </c>
      <c r="M112" s="1"/>
      <c r="N112" s="1"/>
      <c r="O112" s="1"/>
      <c r="P112" s="1"/>
      <c r="Q112" s="1"/>
      <c r="R112" s="1"/>
    </row>
    <row r="113" spans="1:18" ht="20" customHeight="1">
      <c r="A113" s="1">
        <v>1</v>
      </c>
      <c r="B113" s="6">
        <v>10</v>
      </c>
      <c r="C113" s="6">
        <v>8.0399999999999991</v>
      </c>
      <c r="D113" s="6">
        <v>10</v>
      </c>
      <c r="E113" s="6">
        <v>9.14</v>
      </c>
      <c r="F113" s="6">
        <v>10</v>
      </c>
      <c r="G113" s="6">
        <v>7.46</v>
      </c>
      <c r="H113" s="6">
        <v>8</v>
      </c>
      <c r="I113" s="6">
        <v>6.58</v>
      </c>
      <c r="J113" s="1"/>
      <c r="K113" s="6">
        <f>F113</f>
        <v>10</v>
      </c>
      <c r="L113" s="6">
        <f>G113</f>
        <v>7.46</v>
      </c>
      <c r="M113" s="1"/>
      <c r="N113" s="1"/>
      <c r="O113" s="1"/>
      <c r="P113" s="1"/>
      <c r="Q113" s="1"/>
      <c r="R113" s="1"/>
    </row>
    <row r="114" spans="1:18" ht="20" customHeight="1">
      <c r="A114" s="1">
        <v>2</v>
      </c>
      <c r="B114" s="6">
        <v>8</v>
      </c>
      <c r="C114" s="6">
        <v>6.95</v>
      </c>
      <c r="D114" s="6">
        <v>8</v>
      </c>
      <c r="E114" s="6">
        <v>8.14</v>
      </c>
      <c r="F114" s="6">
        <v>8</v>
      </c>
      <c r="G114" s="6">
        <v>6.77</v>
      </c>
      <c r="H114" s="6">
        <v>8</v>
      </c>
      <c r="I114" s="6">
        <v>5.76</v>
      </c>
      <c r="J114" s="1"/>
      <c r="K114" s="6">
        <f>F114</f>
        <v>8</v>
      </c>
      <c r="L114" s="6">
        <f>G114</f>
        <v>6.77</v>
      </c>
      <c r="M114" s="1"/>
      <c r="N114" s="1"/>
      <c r="O114" s="1"/>
      <c r="P114" s="1"/>
      <c r="Q114" s="1"/>
      <c r="R114" s="1"/>
    </row>
    <row r="115" spans="1:18" ht="20" customHeight="1">
      <c r="A115" s="1">
        <v>3</v>
      </c>
      <c r="B115" s="6">
        <v>13</v>
      </c>
      <c r="C115" s="6">
        <v>7.58</v>
      </c>
      <c r="D115" s="6">
        <v>13</v>
      </c>
      <c r="E115" s="6">
        <v>8.74</v>
      </c>
      <c r="F115" s="6">
        <v>13</v>
      </c>
      <c r="G115" s="6">
        <v>12.74</v>
      </c>
      <c r="H115" s="6">
        <v>8</v>
      </c>
      <c r="I115" s="6">
        <v>7.71</v>
      </c>
      <c r="J115" s="1"/>
      <c r="K115" s="6">
        <f t="shared" ref="K115:L122" si="0">F116</f>
        <v>9</v>
      </c>
      <c r="L115" s="6">
        <f t="shared" si="0"/>
        <v>7.11</v>
      </c>
      <c r="M115" s="1"/>
      <c r="N115" s="1"/>
      <c r="O115" s="1"/>
      <c r="P115" s="1"/>
      <c r="Q115" s="1"/>
      <c r="R115" s="1"/>
    </row>
    <row r="116" spans="1:18" ht="20" customHeight="1">
      <c r="A116" s="1">
        <v>4</v>
      </c>
      <c r="B116" s="6">
        <v>9</v>
      </c>
      <c r="C116" s="6">
        <v>8.81</v>
      </c>
      <c r="D116" s="6">
        <v>9</v>
      </c>
      <c r="E116" s="6">
        <v>8.77</v>
      </c>
      <c r="F116" s="6">
        <v>9</v>
      </c>
      <c r="G116" s="6">
        <v>7.11</v>
      </c>
      <c r="H116" s="6">
        <v>8</v>
      </c>
      <c r="I116" s="6">
        <v>8.84</v>
      </c>
      <c r="J116" s="1"/>
      <c r="K116" s="6">
        <f t="shared" si="0"/>
        <v>11</v>
      </c>
      <c r="L116" s="6">
        <f t="shared" si="0"/>
        <v>7.81</v>
      </c>
      <c r="M116" s="1"/>
      <c r="N116" s="1"/>
      <c r="O116" s="1"/>
      <c r="P116" s="1"/>
      <c r="Q116" s="1"/>
      <c r="R116" s="1"/>
    </row>
    <row r="117" spans="1:18" ht="20" customHeight="1">
      <c r="A117" s="1">
        <v>5</v>
      </c>
      <c r="B117" s="6">
        <v>11</v>
      </c>
      <c r="C117" s="6">
        <v>8.33</v>
      </c>
      <c r="D117" s="6">
        <v>11</v>
      </c>
      <c r="E117" s="6">
        <v>9.26</v>
      </c>
      <c r="F117" s="6">
        <v>11</v>
      </c>
      <c r="G117" s="6">
        <v>7.81</v>
      </c>
      <c r="H117" s="6">
        <v>8</v>
      </c>
      <c r="I117" s="6">
        <v>8.4700000000000006</v>
      </c>
      <c r="J117" s="1"/>
      <c r="K117" s="6">
        <f t="shared" si="0"/>
        <v>14</v>
      </c>
      <c r="L117" s="6">
        <f t="shared" si="0"/>
        <v>8.84</v>
      </c>
      <c r="M117" s="1"/>
      <c r="N117" s="1"/>
      <c r="O117" s="1"/>
      <c r="P117" s="1"/>
      <c r="Q117" s="1"/>
      <c r="R117" s="1"/>
    </row>
    <row r="118" spans="1:18" ht="20" customHeight="1">
      <c r="A118" s="1">
        <v>6</v>
      </c>
      <c r="B118" s="6">
        <v>14</v>
      </c>
      <c r="C118" s="6">
        <v>9.9600000000000009</v>
      </c>
      <c r="D118" s="6">
        <v>14</v>
      </c>
      <c r="E118" s="6">
        <v>8.1</v>
      </c>
      <c r="F118" s="6">
        <v>14</v>
      </c>
      <c r="G118" s="6">
        <v>8.84</v>
      </c>
      <c r="H118" s="6">
        <v>8</v>
      </c>
      <c r="I118" s="6">
        <v>7.04</v>
      </c>
      <c r="J118" s="1"/>
      <c r="K118" s="6">
        <f t="shared" si="0"/>
        <v>6</v>
      </c>
      <c r="L118" s="6">
        <f t="shared" si="0"/>
        <v>6.08</v>
      </c>
      <c r="M118" s="1"/>
      <c r="N118" s="1"/>
      <c r="O118" s="1"/>
      <c r="P118" s="1"/>
      <c r="Q118" s="1"/>
      <c r="R118" s="1"/>
    </row>
    <row r="119" spans="1:18" ht="20" customHeight="1">
      <c r="A119" s="1">
        <v>7</v>
      </c>
      <c r="B119" s="6">
        <v>6</v>
      </c>
      <c r="C119" s="6">
        <v>7.24</v>
      </c>
      <c r="D119" s="6">
        <v>6</v>
      </c>
      <c r="E119" s="6">
        <v>6.13</v>
      </c>
      <c r="F119" s="6">
        <v>6</v>
      </c>
      <c r="G119" s="6">
        <v>6.08</v>
      </c>
      <c r="H119" s="6">
        <v>8</v>
      </c>
      <c r="I119" s="6">
        <v>5.25</v>
      </c>
      <c r="J119" s="1"/>
      <c r="K119" s="6">
        <f t="shared" si="0"/>
        <v>4</v>
      </c>
      <c r="L119" s="6">
        <f t="shared" si="0"/>
        <v>5.39</v>
      </c>
      <c r="M119" s="1"/>
      <c r="N119" s="1"/>
      <c r="O119" s="1"/>
      <c r="P119" s="1"/>
      <c r="Q119" s="1"/>
      <c r="R119" s="1"/>
    </row>
    <row r="120" spans="1:18" ht="20" customHeight="1">
      <c r="A120" s="1">
        <v>8</v>
      </c>
      <c r="B120" s="6">
        <v>4</v>
      </c>
      <c r="C120" s="6">
        <v>4.26</v>
      </c>
      <c r="D120" s="6">
        <v>4</v>
      </c>
      <c r="E120" s="6">
        <v>3.1</v>
      </c>
      <c r="F120" s="6">
        <v>4</v>
      </c>
      <c r="G120" s="6">
        <v>5.39</v>
      </c>
      <c r="H120" s="6">
        <v>19</v>
      </c>
      <c r="I120" s="6">
        <v>12.5</v>
      </c>
      <c r="J120" s="1"/>
      <c r="K120" s="6">
        <f t="shared" si="0"/>
        <v>12</v>
      </c>
      <c r="L120" s="6">
        <f t="shared" si="0"/>
        <v>8.15</v>
      </c>
      <c r="M120" s="1"/>
      <c r="N120" s="1"/>
      <c r="O120" s="1"/>
      <c r="P120" s="1"/>
      <c r="Q120" s="1"/>
      <c r="R120" s="1"/>
    </row>
    <row r="121" spans="1:18" ht="20" customHeight="1">
      <c r="A121" s="1">
        <v>9</v>
      </c>
      <c r="B121" s="6">
        <v>12</v>
      </c>
      <c r="C121" s="6">
        <v>10.84</v>
      </c>
      <c r="D121" s="6">
        <v>12</v>
      </c>
      <c r="E121" s="6">
        <v>9.1300000000000008</v>
      </c>
      <c r="F121" s="6">
        <v>12</v>
      </c>
      <c r="G121" s="6">
        <v>8.15</v>
      </c>
      <c r="H121" s="6">
        <v>8</v>
      </c>
      <c r="I121" s="6">
        <v>5.56</v>
      </c>
      <c r="J121" s="1"/>
      <c r="K121" s="6">
        <f t="shared" si="0"/>
        <v>7</v>
      </c>
      <c r="L121" s="6">
        <f t="shared" si="0"/>
        <v>6.42</v>
      </c>
      <c r="M121" s="1"/>
      <c r="N121" s="1"/>
      <c r="O121" s="1"/>
      <c r="P121" s="1"/>
      <c r="Q121" s="1"/>
      <c r="R121" s="1"/>
    </row>
    <row r="122" spans="1:18" ht="20" customHeight="1">
      <c r="A122" s="1">
        <v>10</v>
      </c>
      <c r="B122" s="6">
        <v>7</v>
      </c>
      <c r="C122" s="6">
        <v>4.82</v>
      </c>
      <c r="D122" s="6">
        <v>7</v>
      </c>
      <c r="E122" s="6">
        <v>7.26</v>
      </c>
      <c r="F122" s="6">
        <v>7</v>
      </c>
      <c r="G122" s="6">
        <v>6.42</v>
      </c>
      <c r="H122" s="6">
        <v>8</v>
      </c>
      <c r="I122" s="6">
        <v>7.91</v>
      </c>
      <c r="J122" s="1"/>
      <c r="K122" s="6">
        <f t="shared" si="0"/>
        <v>5</v>
      </c>
      <c r="L122" s="6">
        <f t="shared" si="0"/>
        <v>5.73</v>
      </c>
      <c r="M122" s="1"/>
      <c r="N122" s="1"/>
      <c r="O122" s="1"/>
      <c r="P122" s="1"/>
      <c r="Q122" s="1"/>
      <c r="R122" s="1"/>
    </row>
    <row r="123" spans="1:18" ht="20" customHeight="1">
      <c r="A123" s="1">
        <v>11</v>
      </c>
      <c r="B123" s="6">
        <v>5</v>
      </c>
      <c r="C123" s="6">
        <v>5.68</v>
      </c>
      <c r="D123" s="6">
        <v>5</v>
      </c>
      <c r="E123" s="6">
        <v>4.74</v>
      </c>
      <c r="F123" s="6">
        <v>5</v>
      </c>
      <c r="G123" s="6">
        <v>5.73</v>
      </c>
      <c r="H123" s="6">
        <v>8</v>
      </c>
      <c r="I123" s="6">
        <v>6.89</v>
      </c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>
      <c r="A128" s="5" t="s">
        <v>32</v>
      </c>
      <c r="B128" s="5" t="s">
        <v>43</v>
      </c>
      <c r="C128" s="5" t="s">
        <v>44</v>
      </c>
      <c r="D128" s="5" t="s">
        <v>45</v>
      </c>
      <c r="E128" s="5" t="s">
        <v>46</v>
      </c>
      <c r="F128" s="5" t="s">
        <v>47</v>
      </c>
      <c r="G128" s="5" t="s">
        <v>48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0" customHeight="1">
      <c r="A129" s="1">
        <v>1</v>
      </c>
      <c r="B129" s="6">
        <v>55.384599999999999</v>
      </c>
      <c r="C129" s="6">
        <v>97.179500000000004</v>
      </c>
      <c r="D129" s="6">
        <v>55.993030151299997</v>
      </c>
      <c r="E129" s="6">
        <v>79.277263697699993</v>
      </c>
      <c r="F129" s="6">
        <v>51.203891137299998</v>
      </c>
      <c r="G129" s="6">
        <v>83.339776605300003</v>
      </c>
      <c r="H129" s="1"/>
      <c r="I129" s="9" t="s">
        <v>49</v>
      </c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0" customHeight="1">
      <c r="A130" s="1">
        <v>2</v>
      </c>
      <c r="B130" s="6">
        <v>51.538499999999999</v>
      </c>
      <c r="C130" s="6">
        <v>96.025599999999997</v>
      </c>
      <c r="D130" s="6">
        <v>50.032253794600003</v>
      </c>
      <c r="E130" s="6">
        <v>79.013071198999995</v>
      </c>
      <c r="F130" s="6">
        <v>58.974469901799999</v>
      </c>
      <c r="G130" s="6">
        <v>85.499817612000001</v>
      </c>
      <c r="H130" s="1"/>
      <c r="I130" s="1">
        <v>3</v>
      </c>
      <c r="J130" s="1">
        <f>G7+H7*I130</f>
        <v>4.5003636363636375</v>
      </c>
      <c r="K130" s="1"/>
      <c r="L130" s="1"/>
      <c r="M130" s="1"/>
      <c r="N130" s="1"/>
      <c r="O130" s="1"/>
      <c r="P130" s="1"/>
      <c r="Q130" s="1"/>
      <c r="R130" s="1"/>
    </row>
    <row r="131" spans="1:18" ht="20" customHeight="1">
      <c r="A131" s="1">
        <v>3</v>
      </c>
      <c r="B131" s="6">
        <v>46.153799999999997</v>
      </c>
      <c r="C131" s="6">
        <v>94.487200000000001</v>
      </c>
      <c r="D131" s="6">
        <v>51.288458659299998</v>
      </c>
      <c r="E131" s="6">
        <v>82.435939842500005</v>
      </c>
      <c r="F131" s="6">
        <v>51.872072669600001</v>
      </c>
      <c r="G131" s="6">
        <v>85.829737634799997</v>
      </c>
      <c r="H131" s="1"/>
      <c r="I131" s="1">
        <v>20</v>
      </c>
      <c r="J131" s="1">
        <f>G7+H7*I131</f>
        <v>13.001909090909095</v>
      </c>
      <c r="K131" s="1"/>
      <c r="L131" s="1"/>
      <c r="M131" s="1"/>
      <c r="N131" s="1"/>
      <c r="O131" s="1"/>
      <c r="P131" s="1"/>
      <c r="Q131" s="1"/>
      <c r="R131" s="1"/>
    </row>
    <row r="132" spans="1:18" ht="20" customHeight="1">
      <c r="A132" s="1">
        <v>4</v>
      </c>
      <c r="B132" s="6">
        <v>42.820500000000003</v>
      </c>
      <c r="C132" s="6">
        <v>91.410300000000007</v>
      </c>
      <c r="D132" s="6">
        <v>51.170536887300003</v>
      </c>
      <c r="E132" s="6">
        <v>79.165294109100003</v>
      </c>
      <c r="F132" s="6">
        <v>48.179930786500002</v>
      </c>
      <c r="G132" s="6">
        <v>85.045116737200004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0" customHeight="1">
      <c r="A133" s="1">
        <v>5</v>
      </c>
      <c r="B133" s="6">
        <v>40.769199999999998</v>
      </c>
      <c r="C133" s="6">
        <v>88.333299999999994</v>
      </c>
      <c r="D133" s="6">
        <v>44.377914528700003</v>
      </c>
      <c r="E133" s="6">
        <v>78.164628003600001</v>
      </c>
      <c r="F133" s="6">
        <v>41.683200402399997</v>
      </c>
      <c r="G133" s="6">
        <v>84.017940601899994</v>
      </c>
      <c r="H133" s="1"/>
      <c r="I133" s="9" t="s">
        <v>50</v>
      </c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0" customHeight="1">
      <c r="A134" s="1">
        <v>6</v>
      </c>
      <c r="B134" s="6">
        <v>38.7179</v>
      </c>
      <c r="C134" s="6">
        <v>84.871799999999993</v>
      </c>
      <c r="D134" s="6">
        <v>45.010270072099999</v>
      </c>
      <c r="E134" s="6">
        <v>77.880863115300002</v>
      </c>
      <c r="F134" s="6">
        <v>37.890415501500001</v>
      </c>
      <c r="G134" s="6">
        <v>82.567492997800002</v>
      </c>
      <c r="H134" s="1"/>
      <c r="I134" s="1">
        <v>3</v>
      </c>
      <c r="J134" s="1">
        <f>G8+H8*I134</f>
        <v>4.500909090909091</v>
      </c>
      <c r="K134" s="1"/>
      <c r="L134" s="1"/>
      <c r="M134" s="1"/>
      <c r="N134" s="1"/>
      <c r="O134" s="1"/>
      <c r="P134" s="1"/>
      <c r="Q134" s="1"/>
      <c r="R134" s="1"/>
    </row>
    <row r="135" spans="1:18" ht="20" customHeight="1">
      <c r="A135" s="1">
        <v>7</v>
      </c>
      <c r="B135" s="6">
        <v>35.640999999999998</v>
      </c>
      <c r="C135" s="6">
        <v>79.871799999999993</v>
      </c>
      <c r="D135" s="6">
        <v>48.559816718999997</v>
      </c>
      <c r="E135" s="6">
        <v>78.788370603499999</v>
      </c>
      <c r="F135" s="6">
        <v>39.548973694700003</v>
      </c>
      <c r="G135" s="6">
        <v>80.812601774000001</v>
      </c>
      <c r="H135" s="1"/>
      <c r="I135" s="1">
        <v>20</v>
      </c>
      <c r="J135" s="1">
        <f>G8+H8*I135</f>
        <v>13.00090909090909</v>
      </c>
      <c r="K135" s="1"/>
      <c r="L135" s="1"/>
      <c r="M135" s="1"/>
      <c r="N135" s="1"/>
      <c r="O135" s="1"/>
      <c r="P135" s="1"/>
      <c r="Q135" s="1"/>
      <c r="R135" s="1"/>
    </row>
    <row r="136" spans="1:18" ht="20" customHeight="1">
      <c r="A136" s="1">
        <v>8</v>
      </c>
      <c r="B136" s="6">
        <v>33.076900000000002</v>
      </c>
      <c r="C136" s="6">
        <v>77.564099999999996</v>
      </c>
      <c r="D136" s="6">
        <v>42.142268292200001</v>
      </c>
      <c r="E136" s="6">
        <v>76.880634554400004</v>
      </c>
      <c r="F136" s="6">
        <v>39.6495738769</v>
      </c>
      <c r="G136" s="6">
        <v>82.664533871299994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0" customHeight="1">
      <c r="A137" s="1">
        <v>9</v>
      </c>
      <c r="B137" s="6">
        <v>28.974399999999999</v>
      </c>
      <c r="C137" s="6">
        <v>74.487200000000001</v>
      </c>
      <c r="D137" s="6">
        <v>41.026971573499999</v>
      </c>
      <c r="E137" s="6">
        <v>76.409588461300004</v>
      </c>
      <c r="F137" s="6">
        <v>34.750597047200003</v>
      </c>
      <c r="G137" s="6">
        <v>80.011090989699994</v>
      </c>
      <c r="H137" s="1"/>
      <c r="I137" s="9" t="s">
        <v>51</v>
      </c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0" customHeight="1">
      <c r="A138" s="1">
        <v>10</v>
      </c>
      <c r="B138" s="6">
        <v>26.1538</v>
      </c>
      <c r="C138" s="6">
        <v>71.410300000000007</v>
      </c>
      <c r="D138" s="6">
        <v>34.575309011500003</v>
      </c>
      <c r="E138" s="6">
        <v>72.724841184499994</v>
      </c>
      <c r="F138" s="6">
        <v>27.560835291</v>
      </c>
      <c r="G138" s="6">
        <v>72.847825592700005</v>
      </c>
      <c r="H138" s="1"/>
      <c r="I138" s="1">
        <v>3</v>
      </c>
      <c r="J138" s="1">
        <f>G9+H9*I138</f>
        <v>4.501636363636365</v>
      </c>
      <c r="K138" s="1"/>
      <c r="L138" s="1"/>
      <c r="M138" s="1"/>
      <c r="N138" s="1"/>
      <c r="O138" s="1"/>
      <c r="P138" s="1"/>
      <c r="Q138" s="1"/>
      <c r="R138" s="1"/>
    </row>
    <row r="139" spans="1:18" ht="20" customHeight="1">
      <c r="A139" s="1">
        <v>11</v>
      </c>
      <c r="B139" s="6">
        <v>23.076899999999998</v>
      </c>
      <c r="C139" s="6">
        <v>66.410300000000007</v>
      </c>
      <c r="D139" s="6">
        <v>31.168600723600001</v>
      </c>
      <c r="E139" s="6">
        <v>69.245421319299993</v>
      </c>
      <c r="F139" s="6">
        <v>24.6355399754</v>
      </c>
      <c r="G139" s="6">
        <v>71.610714825599999</v>
      </c>
      <c r="H139" s="1"/>
      <c r="I139" s="1">
        <v>20</v>
      </c>
      <c r="J139" s="1">
        <f>G9+H9*I139</f>
        <v>12.997</v>
      </c>
      <c r="K139" s="1"/>
      <c r="L139" s="1"/>
      <c r="M139" s="1"/>
      <c r="N139" s="1"/>
      <c r="O139" s="1"/>
      <c r="P139" s="1"/>
      <c r="Q139" s="1"/>
      <c r="R139" s="1"/>
    </row>
    <row r="140" spans="1:18" ht="20" customHeight="1">
      <c r="A140" s="1">
        <v>12</v>
      </c>
      <c r="B140" s="6">
        <v>22.307700000000001</v>
      </c>
      <c r="C140" s="6">
        <v>61.794899999999998</v>
      </c>
      <c r="D140" s="6">
        <v>32.644254071399999</v>
      </c>
      <c r="E140" s="6">
        <v>70.732555033400004</v>
      </c>
      <c r="F140" s="6">
        <v>20.959464812499998</v>
      </c>
      <c r="G140" s="6">
        <v>66.041498382599997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0" customHeight="1">
      <c r="A141" s="1">
        <v>13</v>
      </c>
      <c r="B141" s="6">
        <v>22.307700000000001</v>
      </c>
      <c r="C141" s="6">
        <v>57.179499999999997</v>
      </c>
      <c r="D141" s="6">
        <v>26.666645653900002</v>
      </c>
      <c r="E141" s="6">
        <v>62.980971205199999</v>
      </c>
      <c r="F141" s="6">
        <v>20.689149053800001</v>
      </c>
      <c r="G141" s="6">
        <v>62.721305206399997</v>
      </c>
      <c r="H141" s="1"/>
      <c r="I141" s="9" t="s">
        <v>52</v>
      </c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0" customHeight="1">
      <c r="A142" s="1">
        <v>14</v>
      </c>
      <c r="B142" s="6">
        <v>23.333300000000001</v>
      </c>
      <c r="C142" s="6">
        <v>52.948700000000002</v>
      </c>
      <c r="D142" s="6">
        <v>26.459262327400001</v>
      </c>
      <c r="E142" s="6">
        <v>62.634673370900003</v>
      </c>
      <c r="F142" s="6">
        <v>19.288204736899999</v>
      </c>
      <c r="G142" s="6">
        <v>62.0630593582</v>
      </c>
      <c r="H142" s="1"/>
      <c r="I142" s="1">
        <v>3</v>
      </c>
      <c r="J142" s="1">
        <f>G10+H10*I142</f>
        <v>4.5014545454545454</v>
      </c>
      <c r="K142" s="1"/>
      <c r="L142" s="1"/>
      <c r="M142" s="1"/>
      <c r="N142" s="1"/>
      <c r="O142" s="1"/>
      <c r="P142" s="1"/>
      <c r="Q142" s="1"/>
      <c r="R142" s="1"/>
    </row>
    <row r="143" spans="1:18" ht="20" customHeight="1">
      <c r="A143" s="1">
        <v>15</v>
      </c>
      <c r="B143" s="6">
        <v>25.897400000000001</v>
      </c>
      <c r="C143" s="6">
        <v>51.025599999999997</v>
      </c>
      <c r="D143" s="6">
        <v>25.538007646499999</v>
      </c>
      <c r="E143" s="6">
        <v>60.6302361093</v>
      </c>
      <c r="F143" s="6">
        <v>20.024500574600001</v>
      </c>
      <c r="G143" s="6">
        <v>61.342623869500002</v>
      </c>
      <c r="H143" s="1"/>
      <c r="I143" s="1">
        <v>20</v>
      </c>
      <c r="J143" s="1">
        <f>G10+H10*I143</f>
        <v>12.999909090909089</v>
      </c>
      <c r="K143" s="1"/>
      <c r="L143" s="1"/>
      <c r="M143" s="1"/>
      <c r="N143" s="1"/>
      <c r="O143" s="1"/>
      <c r="P143" s="1"/>
      <c r="Q143" s="1"/>
      <c r="R143" s="1"/>
    </row>
    <row r="144" spans="1:18" ht="20" customHeight="1">
      <c r="A144" s="1">
        <v>16</v>
      </c>
      <c r="B144" s="6">
        <v>29.487200000000001</v>
      </c>
      <c r="C144" s="6">
        <v>51.025599999999997</v>
      </c>
      <c r="D144" s="6">
        <v>26.320711193299999</v>
      </c>
      <c r="E144" s="6">
        <v>62.396281118600001</v>
      </c>
      <c r="F144" s="6">
        <v>35.4695229971</v>
      </c>
      <c r="G144" s="6">
        <v>43.115884951699996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0" customHeight="1">
      <c r="A145" s="1">
        <v>17</v>
      </c>
      <c r="B145" s="6">
        <v>32.820500000000003</v>
      </c>
      <c r="C145" s="6">
        <v>51.025599999999997</v>
      </c>
      <c r="D145" s="6">
        <v>26.1633874648</v>
      </c>
      <c r="E145" s="6">
        <v>62.0268148985</v>
      </c>
      <c r="F145" s="6">
        <v>36.894327650699999</v>
      </c>
      <c r="G145" s="6">
        <v>47.706555968700002</v>
      </c>
      <c r="H145" s="1"/>
      <c r="I145" s="9" t="s">
        <v>53</v>
      </c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0" customHeight="1">
      <c r="A146" s="1">
        <v>18</v>
      </c>
      <c r="B146" s="6">
        <v>35.384599999999999</v>
      </c>
      <c r="C146" s="6">
        <v>51.410299999999999</v>
      </c>
      <c r="D146" s="6">
        <v>25.2137904611</v>
      </c>
      <c r="E146" s="6">
        <v>60.273398601799997</v>
      </c>
      <c r="F146" s="6">
        <v>39.055549775099998</v>
      </c>
      <c r="G146" s="6">
        <v>55.546973713100002</v>
      </c>
      <c r="H146" s="1"/>
      <c r="I146" s="1">
        <v>3</v>
      </c>
      <c r="J146" s="1">
        <f>H52+I52*I146</f>
        <v>4.501636363636365</v>
      </c>
      <c r="K146" s="1"/>
      <c r="L146" s="1"/>
      <c r="M146" s="1"/>
      <c r="N146" s="1"/>
      <c r="O146" s="1"/>
      <c r="P146" s="1"/>
      <c r="Q146" s="1"/>
      <c r="R146" s="1"/>
    </row>
    <row r="147" spans="1:18" ht="20" customHeight="1">
      <c r="A147" s="1">
        <v>19</v>
      </c>
      <c r="B147" s="6">
        <v>40.256399999999999</v>
      </c>
      <c r="C147" s="6">
        <v>51.410299999999999</v>
      </c>
      <c r="D147" s="6">
        <v>26.859529560399999</v>
      </c>
      <c r="E147" s="6">
        <v>63.1418346727</v>
      </c>
      <c r="F147" s="6">
        <v>46.957080149399999</v>
      </c>
      <c r="G147" s="6">
        <v>65.240407393500007</v>
      </c>
      <c r="H147" s="1"/>
      <c r="I147" s="1">
        <v>15</v>
      </c>
      <c r="J147" s="1">
        <f>H52+I52*I147</f>
        <v>10.498363636363639</v>
      </c>
      <c r="K147" s="1"/>
      <c r="L147" s="1"/>
      <c r="M147" s="1"/>
      <c r="N147" s="1"/>
      <c r="O147" s="1"/>
      <c r="P147" s="1"/>
      <c r="Q147" s="1"/>
      <c r="R147" s="1"/>
    </row>
    <row r="148" spans="1:18" ht="20" customHeight="1">
      <c r="A148" s="1">
        <v>20</v>
      </c>
      <c r="B148" s="6">
        <v>44.102600000000002</v>
      </c>
      <c r="C148" s="6">
        <v>52.948700000000002</v>
      </c>
      <c r="D148" s="6">
        <v>31.7606691716</v>
      </c>
      <c r="E148" s="6">
        <v>69.797655393599996</v>
      </c>
      <c r="F148" s="6">
        <v>37.310452735200002</v>
      </c>
      <c r="G148" s="6">
        <v>45.258750899900001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0" customHeight="1">
      <c r="A149" s="1">
        <v>21</v>
      </c>
      <c r="B149" s="6">
        <v>46.666699999999999</v>
      </c>
      <c r="C149" s="6">
        <v>54.102600000000002</v>
      </c>
      <c r="D149" s="6">
        <v>39.793290574399997</v>
      </c>
      <c r="E149" s="6">
        <v>75.807964216800002</v>
      </c>
      <c r="F149" s="6">
        <v>40.0096720019</v>
      </c>
      <c r="G149" s="6">
        <v>60.9865825077</v>
      </c>
      <c r="H149" s="1"/>
      <c r="I149" s="9" t="s">
        <v>54</v>
      </c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0" customHeight="1">
      <c r="A150" s="1">
        <v>22</v>
      </c>
      <c r="B150" s="6">
        <v>50</v>
      </c>
      <c r="C150" s="6">
        <v>55.256399999999999</v>
      </c>
      <c r="D150" s="6">
        <v>45.617439185400002</v>
      </c>
      <c r="E150" s="6">
        <v>78.119970227699994</v>
      </c>
      <c r="F150" s="6">
        <v>48.014386684599998</v>
      </c>
      <c r="G150" s="6">
        <v>65.712819593399999</v>
      </c>
      <c r="H150" s="1"/>
      <c r="I150" s="1">
        <v>3</v>
      </c>
      <c r="J150" s="1">
        <f>H53+I53*I150</f>
        <v>5.0418181818181811</v>
      </c>
      <c r="K150" s="1"/>
      <c r="L150" s="1"/>
      <c r="M150" s="1"/>
      <c r="N150" s="1"/>
      <c r="O150" s="1"/>
      <c r="P150" s="1"/>
      <c r="Q150" s="1"/>
      <c r="R150" s="1"/>
    </row>
    <row r="151" spans="1:18" ht="20" customHeight="1">
      <c r="A151" s="1">
        <v>23</v>
      </c>
      <c r="B151" s="6">
        <v>53.076900000000002</v>
      </c>
      <c r="C151" s="6">
        <v>55.640999999999998</v>
      </c>
      <c r="D151" s="6">
        <v>53.771460682700003</v>
      </c>
      <c r="E151" s="6">
        <v>79.302931643500003</v>
      </c>
      <c r="F151" s="6">
        <v>53.703775926799999</v>
      </c>
      <c r="G151" s="6">
        <v>66.389482036299995</v>
      </c>
      <c r="H151" s="1"/>
      <c r="I151" s="1">
        <v>15</v>
      </c>
      <c r="J151" s="1">
        <f>H53+I53*I151</f>
        <v>9.1864935064935054</v>
      </c>
      <c r="K151" s="1"/>
      <c r="L151" s="1"/>
      <c r="M151" s="1"/>
      <c r="N151" s="1"/>
      <c r="O151" s="1"/>
      <c r="P151" s="1"/>
      <c r="Q151" s="1"/>
      <c r="R151" s="1"/>
    </row>
    <row r="152" spans="1:18" ht="20" customHeight="1">
      <c r="A152" s="1">
        <v>24</v>
      </c>
      <c r="B152" s="6">
        <v>56.666699999999999</v>
      </c>
      <c r="C152" s="6">
        <v>56.025599999999997</v>
      </c>
      <c r="D152" s="6">
        <v>56.451433673300002</v>
      </c>
      <c r="E152" s="6">
        <v>79.247107020800001</v>
      </c>
      <c r="F152" s="6">
        <v>63.067499892100003</v>
      </c>
      <c r="G152" s="6">
        <v>64.035000458100001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0" customHeight="1">
      <c r="A153" s="1">
        <v>25</v>
      </c>
      <c r="B153" s="6">
        <v>59.230800000000002</v>
      </c>
      <c r="C153" s="6">
        <v>57.948700000000002</v>
      </c>
      <c r="D153" s="6">
        <v>66.093720198900002</v>
      </c>
      <c r="E153" s="6">
        <v>77.017818260599995</v>
      </c>
      <c r="F153" s="6">
        <v>62.048032507599999</v>
      </c>
      <c r="G153" s="6">
        <v>63.845863249399997</v>
      </c>
      <c r="H153" s="1"/>
      <c r="I153" s="9" t="s">
        <v>55</v>
      </c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0" customHeight="1">
      <c r="A154" s="1">
        <v>26</v>
      </c>
      <c r="B154" s="6">
        <v>61.2821</v>
      </c>
      <c r="C154" s="6">
        <v>62.179499999999997</v>
      </c>
      <c r="D154" s="6">
        <v>56.925839419399999</v>
      </c>
      <c r="E154" s="6">
        <v>79.206318622599994</v>
      </c>
      <c r="F154" s="6">
        <v>59.839966712399999</v>
      </c>
      <c r="G154" s="6">
        <v>64.476764443700006</v>
      </c>
      <c r="H154" s="1"/>
      <c r="I154" s="1">
        <v>0</v>
      </c>
      <c r="J154" s="1">
        <f>G81+H81*I154</f>
        <v>53.452978449229199</v>
      </c>
      <c r="K154" s="1"/>
      <c r="L154" s="1"/>
      <c r="M154" s="1"/>
      <c r="N154" s="1"/>
      <c r="O154" s="1"/>
      <c r="P154" s="1"/>
      <c r="Q154" s="1"/>
      <c r="R154" s="1"/>
    </row>
    <row r="155" spans="1:18" ht="20" customHeight="1">
      <c r="A155" s="1">
        <v>27</v>
      </c>
      <c r="B155" s="6">
        <v>61.538499999999999</v>
      </c>
      <c r="C155" s="6">
        <v>66.410300000000007</v>
      </c>
      <c r="D155" s="6">
        <v>58.988253846699997</v>
      </c>
      <c r="E155" s="6">
        <v>78.917258955400001</v>
      </c>
      <c r="F155" s="6">
        <v>55.160941817500003</v>
      </c>
      <c r="G155" s="6">
        <v>65.237308169399995</v>
      </c>
      <c r="H155" s="1"/>
      <c r="I155" s="1">
        <v>100</v>
      </c>
      <c r="J155" s="1">
        <f>G81+H81*I155</f>
        <v>43.094728205963591</v>
      </c>
      <c r="K155" s="1"/>
      <c r="L155" s="1"/>
      <c r="M155" s="1"/>
      <c r="N155" s="1"/>
      <c r="O155" s="1"/>
      <c r="P155" s="1"/>
      <c r="Q155" s="1"/>
      <c r="R155" s="1"/>
    </row>
    <row r="156" spans="1:18" ht="20" customHeight="1">
      <c r="A156" s="1">
        <v>28</v>
      </c>
      <c r="B156" s="6">
        <v>61.794899999999998</v>
      </c>
      <c r="C156" s="6">
        <v>69.102599999999995</v>
      </c>
      <c r="D156" s="6">
        <v>57.902266053300004</v>
      </c>
      <c r="E156" s="6">
        <v>79.0808678187</v>
      </c>
      <c r="F156" s="6">
        <v>61.2797865792</v>
      </c>
      <c r="G156" s="6">
        <v>65.766402503999998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0" customHeight="1">
      <c r="A157" s="1">
        <v>29</v>
      </c>
      <c r="B157" s="6">
        <v>57.435899999999997</v>
      </c>
      <c r="C157" s="6">
        <v>55.256399999999999</v>
      </c>
      <c r="D157" s="6">
        <v>64.812866956799994</v>
      </c>
      <c r="E157" s="6">
        <v>77.486938923500006</v>
      </c>
      <c r="F157" s="6">
        <v>60.834917534799999</v>
      </c>
      <c r="G157" s="6">
        <v>64.6037697063</v>
      </c>
      <c r="H157" s="1"/>
      <c r="I157" s="9" t="s">
        <v>56</v>
      </c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0" customHeight="1">
      <c r="A158" s="1">
        <v>30</v>
      </c>
      <c r="B158" s="6">
        <v>54.8718</v>
      </c>
      <c r="C158" s="6">
        <v>49.8718</v>
      </c>
      <c r="D158" s="6">
        <v>60.349793516600002</v>
      </c>
      <c r="E158" s="6">
        <v>78.729445867300001</v>
      </c>
      <c r="F158" s="6">
        <v>61.520590645799999</v>
      </c>
      <c r="G158" s="6">
        <v>64.791855041800005</v>
      </c>
      <c r="H158" s="1"/>
      <c r="I158" s="1">
        <v>0</v>
      </c>
      <c r="J158" s="1">
        <f>G82+H82*I158</f>
        <v>53.797044985054548</v>
      </c>
      <c r="K158" s="1"/>
      <c r="L158" s="1"/>
      <c r="M158" s="1"/>
      <c r="N158" s="1"/>
      <c r="O158" s="1"/>
      <c r="P158" s="1"/>
      <c r="Q158" s="1"/>
      <c r="R158" s="1"/>
    </row>
    <row r="159" spans="1:18" ht="20" customHeight="1">
      <c r="A159" s="1">
        <v>31</v>
      </c>
      <c r="B159" s="6">
        <v>52.564100000000003</v>
      </c>
      <c r="C159" s="6">
        <v>46.025599999999997</v>
      </c>
      <c r="D159" s="6">
        <v>48.890555755999998</v>
      </c>
      <c r="E159" s="6">
        <v>16.806543515400001</v>
      </c>
      <c r="F159" s="6">
        <v>36.916543863000001</v>
      </c>
      <c r="G159" s="6">
        <v>41.095247438299999</v>
      </c>
      <c r="H159" s="1"/>
      <c r="I159" s="1">
        <v>100</v>
      </c>
      <c r="J159" s="1">
        <f>G82+H82*I159</f>
        <v>42.815615000853157</v>
      </c>
      <c r="K159" s="1"/>
      <c r="L159" s="1"/>
      <c r="M159" s="1"/>
      <c r="N159" s="1"/>
      <c r="O159" s="1"/>
      <c r="P159" s="1"/>
      <c r="Q159" s="1"/>
      <c r="R159" s="1"/>
    </row>
    <row r="160" spans="1:18" ht="20" customHeight="1">
      <c r="A160" s="1">
        <v>32</v>
      </c>
      <c r="B160" s="6">
        <v>48.205100000000002</v>
      </c>
      <c r="C160" s="6">
        <v>38.333300000000001</v>
      </c>
      <c r="D160" s="6">
        <v>47.549506348000001</v>
      </c>
      <c r="E160" s="6">
        <v>17.0714045245</v>
      </c>
      <c r="F160" s="6">
        <v>38.5021996714</v>
      </c>
      <c r="G160" s="6">
        <v>41.567155617399997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0" customHeight="1">
      <c r="A161" s="1">
        <v>33</v>
      </c>
      <c r="B161" s="6">
        <v>49.487200000000001</v>
      </c>
      <c r="C161" s="6">
        <v>42.179499999999997</v>
      </c>
      <c r="D161" s="6">
        <v>30.8894308257</v>
      </c>
      <c r="E161" s="6">
        <v>26.329037234800001</v>
      </c>
      <c r="F161" s="6">
        <v>48.664370734400002</v>
      </c>
      <c r="G161" s="6">
        <v>30.6806668519</v>
      </c>
      <c r="H161" s="1"/>
      <c r="I161" s="9" t="s">
        <v>57</v>
      </c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0" customHeight="1">
      <c r="A162" s="1">
        <v>34</v>
      </c>
      <c r="B162" s="6">
        <v>51.025599999999997</v>
      </c>
      <c r="C162" s="6">
        <v>44.102600000000002</v>
      </c>
      <c r="D162" s="6">
        <v>28.972835723999999</v>
      </c>
      <c r="E162" s="6">
        <v>29.050468918499998</v>
      </c>
      <c r="F162" s="6">
        <v>50.285252404200001</v>
      </c>
      <c r="G162" s="6">
        <v>30.337922105099999</v>
      </c>
      <c r="H162" s="1"/>
      <c r="I162" s="1">
        <v>0</v>
      </c>
      <c r="J162" s="1">
        <f>G83+H83*I162</f>
        <v>53.809470811364903</v>
      </c>
      <c r="K162" s="1"/>
      <c r="L162" s="1"/>
      <c r="M162" s="1"/>
      <c r="N162" s="1"/>
      <c r="O162" s="1"/>
      <c r="P162" s="1"/>
      <c r="Q162" s="1"/>
      <c r="R162" s="1"/>
    </row>
    <row r="163" spans="1:18" ht="20" customHeight="1">
      <c r="A163" s="1">
        <v>35</v>
      </c>
      <c r="B163" s="6">
        <v>45.384599999999999</v>
      </c>
      <c r="C163" s="6">
        <v>36.410299999999999</v>
      </c>
      <c r="D163" s="6">
        <v>35.161360752299998</v>
      </c>
      <c r="E163" s="6">
        <v>22.786849647299999</v>
      </c>
      <c r="F163" s="6">
        <v>42.276332666000002</v>
      </c>
      <c r="G163" s="6">
        <v>34.527636123599997</v>
      </c>
      <c r="H163" s="1"/>
      <c r="I163" s="1">
        <v>100</v>
      </c>
      <c r="J163" s="1">
        <f>G83+H83*I163</f>
        <v>42.792725710306385</v>
      </c>
      <c r="K163" s="1"/>
      <c r="L163" s="1"/>
      <c r="M163" s="1"/>
      <c r="N163" s="1"/>
      <c r="O163" s="1"/>
      <c r="P163" s="1"/>
      <c r="Q163" s="1"/>
      <c r="R163" s="1"/>
    </row>
    <row r="164" spans="1:18" ht="20" customHeight="1">
      <c r="A164" s="1">
        <v>36</v>
      </c>
      <c r="B164" s="6">
        <v>42.820500000000003</v>
      </c>
      <c r="C164" s="6">
        <v>32.564100000000003</v>
      </c>
      <c r="D164" s="6">
        <v>45.870369168499998</v>
      </c>
      <c r="E164" s="6">
        <v>17.4893933655</v>
      </c>
      <c r="F164" s="6">
        <v>54.031775620399998</v>
      </c>
      <c r="G164" s="6">
        <v>29.672348314899999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0" customHeight="1">
      <c r="A165" s="1">
        <v>37</v>
      </c>
      <c r="B165" s="6">
        <v>38.7179</v>
      </c>
      <c r="C165" s="6">
        <v>31.410299999999999</v>
      </c>
      <c r="D165" s="6">
        <v>32.831420607600002</v>
      </c>
      <c r="E165" s="6">
        <v>24.797538145899999</v>
      </c>
      <c r="F165" s="6">
        <v>37.329355255199999</v>
      </c>
      <c r="G165" s="6">
        <v>39.602042307399998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0" customHeight="1">
      <c r="A166" s="1">
        <v>38</v>
      </c>
      <c r="B166" s="6">
        <v>35.1282</v>
      </c>
      <c r="C166" s="6">
        <v>30.256399999999999</v>
      </c>
      <c r="D166" s="6">
        <v>39.485574789899999</v>
      </c>
      <c r="E166" s="6">
        <v>20.033050048900002</v>
      </c>
      <c r="F166" s="6">
        <v>41.389522550999999</v>
      </c>
      <c r="G166" s="6">
        <v>37.296056232799998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0" customHeight="1">
      <c r="A167" s="1">
        <v>39</v>
      </c>
      <c r="B167" s="6">
        <v>32.564100000000003</v>
      </c>
      <c r="C167" s="6">
        <v>32.179499999999997</v>
      </c>
      <c r="D167" s="6">
        <v>33.446182931400003</v>
      </c>
      <c r="E167" s="6">
        <v>24.190643407500001</v>
      </c>
      <c r="F167" s="6">
        <v>40.074666657199998</v>
      </c>
      <c r="G167" s="6">
        <v>34.623685202700003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0" customHeight="1">
      <c r="A168" s="1">
        <v>40</v>
      </c>
      <c r="B168" s="6">
        <v>30</v>
      </c>
      <c r="C168" s="6">
        <v>36.794899999999998</v>
      </c>
      <c r="D168" s="6">
        <v>21.863581275600001</v>
      </c>
      <c r="E168" s="6">
        <v>46.052593345699997</v>
      </c>
      <c r="F168" s="6">
        <v>35.349680621099999</v>
      </c>
      <c r="G168" s="6">
        <v>47.141073133200003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0" customHeight="1">
      <c r="A169" s="1">
        <v>41</v>
      </c>
      <c r="B169" s="6">
        <v>33.589700000000001</v>
      </c>
      <c r="C169" s="6">
        <v>41.410299999999999</v>
      </c>
      <c r="D169" s="6">
        <v>25.165870844899999</v>
      </c>
      <c r="E169" s="6">
        <v>35.766613953899999</v>
      </c>
      <c r="F169" s="6">
        <v>34.763700418900001</v>
      </c>
      <c r="G169" s="6">
        <v>47.624799924500003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0" customHeight="1">
      <c r="A170" s="1">
        <v>42</v>
      </c>
      <c r="B170" s="6">
        <v>36.666699999999999</v>
      </c>
      <c r="C170" s="6">
        <v>45.640999999999998</v>
      </c>
      <c r="D170" s="6">
        <v>22.9594789762</v>
      </c>
      <c r="E170" s="6">
        <v>51.287706793399998</v>
      </c>
      <c r="F170" s="6">
        <v>37.026629447200001</v>
      </c>
      <c r="G170" s="6">
        <v>44.4622930512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20" customHeight="1">
      <c r="A171" s="1">
        <v>43</v>
      </c>
      <c r="B171" s="6">
        <v>38.205100000000002</v>
      </c>
      <c r="C171" s="6">
        <v>49.102600000000002</v>
      </c>
      <c r="D171" s="6">
        <v>25.586055241499999</v>
      </c>
      <c r="E171" s="6">
        <v>60.846583358499998</v>
      </c>
      <c r="F171" s="6">
        <v>36.455569532699997</v>
      </c>
      <c r="G171" s="6">
        <v>40.791843032000003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20" customHeight="1">
      <c r="A172" s="1">
        <v>44</v>
      </c>
      <c r="B172" s="6">
        <v>29.743600000000001</v>
      </c>
      <c r="C172" s="6">
        <v>36.025599999999997</v>
      </c>
      <c r="D172" s="6">
        <v>26.314310067200001</v>
      </c>
      <c r="E172" s="6">
        <v>33.297168103799997</v>
      </c>
      <c r="F172" s="6">
        <v>35.537664213100001</v>
      </c>
      <c r="G172" s="6">
        <v>48.7293868661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20" customHeight="1">
      <c r="A173" s="1">
        <v>45</v>
      </c>
      <c r="B173" s="6">
        <v>29.743600000000001</v>
      </c>
      <c r="C173" s="6">
        <v>32.179499999999997</v>
      </c>
      <c r="D173" s="6">
        <v>33.037301251000002</v>
      </c>
      <c r="E173" s="6">
        <v>24.564462492099999</v>
      </c>
      <c r="F173" s="6">
        <v>20.4089478892</v>
      </c>
      <c r="G173" s="6">
        <v>32.203030420499999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20" customHeight="1">
      <c r="A174" s="1">
        <v>46</v>
      </c>
      <c r="B174" s="6">
        <v>30</v>
      </c>
      <c r="C174" s="6">
        <v>29.102599999999999</v>
      </c>
      <c r="D174" s="6">
        <v>36.468889477200001</v>
      </c>
      <c r="E174" s="6">
        <v>21.876114472499999</v>
      </c>
      <c r="F174" s="6">
        <v>23.4957104659</v>
      </c>
      <c r="G174" s="6">
        <v>25.322468154199999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20" customHeight="1">
      <c r="A175" s="1">
        <v>47</v>
      </c>
      <c r="B175" s="6">
        <v>32.051299999999998</v>
      </c>
      <c r="C175" s="6">
        <v>26.794899999999998</v>
      </c>
      <c r="D175" s="6">
        <v>26.513553100900001</v>
      </c>
      <c r="E175" s="6">
        <v>32.918749817799998</v>
      </c>
      <c r="F175" s="6">
        <v>29.557543363400001</v>
      </c>
      <c r="G175" s="6">
        <v>21.364777459100001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20" customHeight="1">
      <c r="A176" s="1">
        <v>48</v>
      </c>
      <c r="B176" s="6">
        <v>35.897399999999998</v>
      </c>
      <c r="C176" s="6">
        <v>25.256399999999999</v>
      </c>
      <c r="D176" s="6">
        <v>36.027091212499997</v>
      </c>
      <c r="E176" s="6">
        <v>22.1954385395</v>
      </c>
      <c r="F176" s="6">
        <v>33.008233912100003</v>
      </c>
      <c r="G176" s="6">
        <v>15.9850714584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0" customHeight="1">
      <c r="A177" s="1">
        <v>49</v>
      </c>
      <c r="B177" s="6">
        <v>41.025599999999997</v>
      </c>
      <c r="C177" s="6">
        <v>25.256399999999999</v>
      </c>
      <c r="D177" s="6">
        <v>42.681040412900003</v>
      </c>
      <c r="E177" s="6">
        <v>18.542536197699999</v>
      </c>
      <c r="F177" s="6">
        <v>53.980399182100001</v>
      </c>
      <c r="G177" s="6">
        <v>29.350986709200001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0" customHeight="1">
      <c r="A178" s="1">
        <v>50</v>
      </c>
      <c r="B178" s="6">
        <v>44.102600000000002</v>
      </c>
      <c r="C178" s="6">
        <v>25.640999999999998</v>
      </c>
      <c r="D178" s="6">
        <v>45.041077127299999</v>
      </c>
      <c r="E178" s="6">
        <v>17.734517730299999</v>
      </c>
      <c r="F178" s="6">
        <v>52.234308600399999</v>
      </c>
      <c r="G178" s="6">
        <v>29.711672986500002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0" customHeight="1">
      <c r="A179" s="1">
        <v>51</v>
      </c>
      <c r="B179" s="6">
        <v>47.179499999999997</v>
      </c>
      <c r="C179" s="6">
        <v>28.718</v>
      </c>
      <c r="D179" s="6">
        <v>47.352416455700002</v>
      </c>
      <c r="E179" s="6">
        <v>17.134745426399999</v>
      </c>
      <c r="F179" s="6">
        <v>59.503076606299999</v>
      </c>
      <c r="G179" s="6">
        <v>30.6696739448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20" customHeight="1">
      <c r="A180" s="1">
        <v>52</v>
      </c>
      <c r="B180" s="6">
        <v>49.487200000000001</v>
      </c>
      <c r="C180" s="6">
        <v>31.410299999999999</v>
      </c>
      <c r="D180" s="6">
        <v>53.846194032200003</v>
      </c>
      <c r="E180" s="6">
        <v>16.3873180961</v>
      </c>
      <c r="F180" s="6">
        <v>41.163781068900001</v>
      </c>
      <c r="G180" s="6">
        <v>34.315758251399998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0" customHeight="1">
      <c r="A181" s="1">
        <v>53</v>
      </c>
      <c r="B181" s="6">
        <v>51.538499999999999</v>
      </c>
      <c r="C181" s="6">
        <v>34.8718</v>
      </c>
      <c r="D181" s="6">
        <v>55.129639383499999</v>
      </c>
      <c r="E181" s="6">
        <v>16.353246871100001</v>
      </c>
      <c r="F181" s="6">
        <v>48.993040120099998</v>
      </c>
      <c r="G181" s="6">
        <v>32.030358836300003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20" customHeight="1">
      <c r="A182" s="1">
        <v>54</v>
      </c>
      <c r="B182" s="6">
        <v>53.589700000000001</v>
      </c>
      <c r="C182" s="6">
        <v>37.564100000000003</v>
      </c>
      <c r="D182" s="6">
        <v>52.188119961699996</v>
      </c>
      <c r="E182" s="6">
        <v>16.418217465200001</v>
      </c>
      <c r="F182" s="6">
        <v>59.2692803248</v>
      </c>
      <c r="G182" s="6">
        <v>29.640701765399999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20" customHeight="1">
      <c r="A183" s="1">
        <v>55</v>
      </c>
      <c r="B183" s="6">
        <v>55.1282</v>
      </c>
      <c r="C183" s="6">
        <v>40.640999999999998</v>
      </c>
      <c r="D183" s="6">
        <v>58.672663084500002</v>
      </c>
      <c r="E183" s="6">
        <v>16.663372432199999</v>
      </c>
      <c r="F183" s="6">
        <v>45.4691770035</v>
      </c>
      <c r="G183" s="6">
        <v>33.831192732300003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20" customHeight="1">
      <c r="A184" s="1">
        <v>56</v>
      </c>
      <c r="B184" s="6">
        <v>56.666699999999999</v>
      </c>
      <c r="C184" s="6">
        <v>42.179499999999997</v>
      </c>
      <c r="D184" s="6">
        <v>82.144311603700004</v>
      </c>
      <c r="E184" s="6">
        <v>33.195221866899999</v>
      </c>
      <c r="F184" s="6">
        <v>62.691266540599997</v>
      </c>
      <c r="G184" s="6">
        <v>30.2903738312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20" customHeight="1">
      <c r="A185" s="1">
        <v>57</v>
      </c>
      <c r="B185" s="6">
        <v>59.230800000000002</v>
      </c>
      <c r="C185" s="6">
        <v>44.487200000000001</v>
      </c>
      <c r="D185" s="6">
        <v>75.686571138299996</v>
      </c>
      <c r="E185" s="6">
        <v>24.741510390799998</v>
      </c>
      <c r="F185" s="6">
        <v>73.428670865399994</v>
      </c>
      <c r="G185" s="6">
        <v>48.577855130300001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0" customHeight="1">
      <c r="A186" s="1">
        <v>58</v>
      </c>
      <c r="B186" s="6">
        <v>62.307699999999997</v>
      </c>
      <c r="C186" s="6">
        <v>46.025599999999997</v>
      </c>
      <c r="D186" s="6">
        <v>85.344964503</v>
      </c>
      <c r="E186" s="6">
        <v>52.886419865999997</v>
      </c>
      <c r="F186" s="6">
        <v>70.846426106999999</v>
      </c>
      <c r="G186" s="6">
        <v>52.282253331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0" customHeight="1">
      <c r="A187" s="1">
        <v>59</v>
      </c>
      <c r="B187" s="6">
        <v>64.871799999999993</v>
      </c>
      <c r="C187" s="6">
        <v>46.794899999999998</v>
      </c>
      <c r="D187" s="6">
        <v>83.844653512700006</v>
      </c>
      <c r="E187" s="6">
        <v>58.616060230499997</v>
      </c>
      <c r="F187" s="6">
        <v>71.539019849499994</v>
      </c>
      <c r="G187" s="6">
        <v>45.521806158799997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0" customHeight="1">
      <c r="A188" s="1">
        <v>60</v>
      </c>
      <c r="B188" s="6">
        <v>67.948700000000002</v>
      </c>
      <c r="C188" s="6">
        <v>47.948700000000002</v>
      </c>
      <c r="D188" s="6">
        <v>85.664760659999999</v>
      </c>
      <c r="E188" s="6">
        <v>45.5427527692</v>
      </c>
      <c r="F188" s="6">
        <v>67.620865888400004</v>
      </c>
      <c r="G188" s="6">
        <v>38.006558465799998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0" customHeight="1">
      <c r="A189" s="1">
        <v>61</v>
      </c>
      <c r="B189" s="6">
        <v>70.512799999999999</v>
      </c>
      <c r="C189" s="6">
        <v>53.718000000000004</v>
      </c>
      <c r="D189" s="6">
        <v>77.931004934000001</v>
      </c>
      <c r="E189" s="6">
        <v>68.690061880800002</v>
      </c>
      <c r="F189" s="6">
        <v>72.470952563300003</v>
      </c>
      <c r="G189" s="6">
        <v>51.122134824100002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0" customHeight="1">
      <c r="A190" s="1">
        <v>62</v>
      </c>
      <c r="B190" s="6">
        <v>71.538499999999999</v>
      </c>
      <c r="C190" s="6">
        <v>60.640999999999998</v>
      </c>
      <c r="D190" s="6">
        <v>73.031833020899995</v>
      </c>
      <c r="E190" s="6">
        <v>73.120574730000001</v>
      </c>
      <c r="F190" s="6">
        <v>64.812237562099995</v>
      </c>
      <c r="G190" s="6">
        <v>62.810915587300002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0" customHeight="1">
      <c r="A191" s="1">
        <v>63</v>
      </c>
      <c r="B191" s="6">
        <v>71.538499999999999</v>
      </c>
      <c r="C191" s="6">
        <v>64.487200000000001</v>
      </c>
      <c r="D191" s="6">
        <v>70.102804499900003</v>
      </c>
      <c r="E191" s="6">
        <v>75.683206854199994</v>
      </c>
      <c r="F191" s="6">
        <v>60.853679872699999</v>
      </c>
      <c r="G191" s="6">
        <v>65.499147032699994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0" customHeight="1">
      <c r="A192" s="1">
        <v>64</v>
      </c>
      <c r="B192" s="6">
        <v>69.487200000000001</v>
      </c>
      <c r="C192" s="6">
        <v>69.487200000000001</v>
      </c>
      <c r="D192" s="6">
        <v>57.144694688900003</v>
      </c>
      <c r="E192" s="6">
        <v>79.194102592199997</v>
      </c>
      <c r="F192" s="6">
        <v>67.789496157100004</v>
      </c>
      <c r="G192" s="6">
        <v>61.3637015467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0" customHeight="1">
      <c r="A193" s="1">
        <v>65</v>
      </c>
      <c r="B193" s="6">
        <v>46.923099999999998</v>
      </c>
      <c r="C193" s="6">
        <v>79.871799999999993</v>
      </c>
      <c r="D193" s="6">
        <v>46.962461994199998</v>
      </c>
      <c r="E193" s="6">
        <v>78.666558996299997</v>
      </c>
      <c r="F193" s="6">
        <v>41.609557269100002</v>
      </c>
      <c r="G193" s="6">
        <v>83.848686555900002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0" customHeight="1">
      <c r="A194" s="1">
        <v>66</v>
      </c>
      <c r="B194" s="6">
        <v>48.205100000000002</v>
      </c>
      <c r="C194" s="6">
        <v>84.102599999999995</v>
      </c>
      <c r="D194" s="6">
        <v>50.5649338128</v>
      </c>
      <c r="E194" s="6">
        <v>79.077298552900004</v>
      </c>
      <c r="F194" s="6">
        <v>53.003025320200003</v>
      </c>
      <c r="G194" s="6">
        <v>84.674798601199996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0" customHeight="1">
      <c r="A195" s="1">
        <v>67</v>
      </c>
      <c r="B195" s="6">
        <v>50</v>
      </c>
      <c r="C195" s="6">
        <v>85.256399999999999</v>
      </c>
      <c r="D195" s="6">
        <v>53.719676569599997</v>
      </c>
      <c r="E195" s="6">
        <v>79.306936167000003</v>
      </c>
      <c r="F195" s="6">
        <v>54.714171059100003</v>
      </c>
      <c r="G195" s="6">
        <v>84.043128073399998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0" customHeight="1">
      <c r="A196" s="1">
        <v>68</v>
      </c>
      <c r="B196" s="6">
        <v>53.076900000000002</v>
      </c>
      <c r="C196" s="6">
        <v>85.256399999999999</v>
      </c>
      <c r="D196" s="6">
        <v>54.200232322600002</v>
      </c>
      <c r="E196" s="6">
        <v>79.325002335400001</v>
      </c>
      <c r="F196" s="6">
        <v>44.291668715699998</v>
      </c>
      <c r="G196" s="6">
        <v>82.909441214400005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0" customHeight="1">
      <c r="A197" s="1">
        <v>69</v>
      </c>
      <c r="B197" s="6">
        <v>55.384599999999999</v>
      </c>
      <c r="C197" s="6">
        <v>86.025599999999997</v>
      </c>
      <c r="D197" s="6">
        <v>47.875198343000001</v>
      </c>
      <c r="E197" s="6">
        <v>78.675853429499995</v>
      </c>
      <c r="F197" s="6">
        <v>49.1917219555</v>
      </c>
      <c r="G197" s="6">
        <v>85.876229122400005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0" customHeight="1">
      <c r="A198" s="1">
        <v>70</v>
      </c>
      <c r="B198" s="6">
        <v>56.666699999999999</v>
      </c>
      <c r="C198" s="6">
        <v>86.025599999999997</v>
      </c>
      <c r="D198" s="6">
        <v>51.473458514900003</v>
      </c>
      <c r="E198" s="6">
        <v>79.159866996299996</v>
      </c>
      <c r="F198" s="6">
        <v>53.101381781900002</v>
      </c>
      <c r="G198" s="6">
        <v>84.5476586881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0" customHeight="1">
      <c r="A199" s="1">
        <v>71</v>
      </c>
      <c r="B199" s="6">
        <v>56.153799999999997</v>
      </c>
      <c r="C199" s="6">
        <v>82.948700000000002</v>
      </c>
      <c r="D199" s="6">
        <v>52.751222216199999</v>
      </c>
      <c r="E199" s="6">
        <v>79.293659934399997</v>
      </c>
      <c r="F199" s="6">
        <v>51.599848153000003</v>
      </c>
      <c r="G199" s="6">
        <v>84.819821489800006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0" customHeight="1">
      <c r="A200" s="1">
        <v>72</v>
      </c>
      <c r="B200" s="6">
        <v>53.846200000000003</v>
      </c>
      <c r="C200" s="6">
        <v>80.641000000000005</v>
      </c>
      <c r="D200" s="6">
        <v>48.562223004700002</v>
      </c>
      <c r="E200" s="6">
        <v>78.782383527500002</v>
      </c>
      <c r="F200" s="6">
        <v>54.379721948399997</v>
      </c>
      <c r="G200" s="6">
        <v>84.240355549399993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0" customHeight="1">
      <c r="A201" s="1">
        <v>73</v>
      </c>
      <c r="B201" s="6">
        <v>51.2821</v>
      </c>
      <c r="C201" s="6">
        <v>78.718000000000004</v>
      </c>
      <c r="D201" s="6">
        <v>53.081241690799999</v>
      </c>
      <c r="E201" s="6">
        <v>79.297250765399994</v>
      </c>
      <c r="F201" s="6">
        <v>46.480768104699997</v>
      </c>
      <c r="G201" s="6">
        <v>83.518211665999999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0" customHeight="1">
      <c r="A202" s="1">
        <v>74</v>
      </c>
      <c r="B202" s="6">
        <v>50</v>
      </c>
      <c r="C202" s="6">
        <v>78.718000000000004</v>
      </c>
      <c r="D202" s="6">
        <v>56.475383374000003</v>
      </c>
      <c r="E202" s="6">
        <v>79.167840097899997</v>
      </c>
      <c r="F202" s="6">
        <v>53.174656268</v>
      </c>
      <c r="G202" s="6">
        <v>84.260567987599998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0" customHeight="1">
      <c r="A203" s="1">
        <v>75</v>
      </c>
      <c r="B203" s="6">
        <v>47.948700000000002</v>
      </c>
      <c r="C203" s="6">
        <v>77.564099999999996</v>
      </c>
      <c r="D203" s="6">
        <v>49.570911404999997</v>
      </c>
      <c r="E203" s="6">
        <v>79.038123883099999</v>
      </c>
      <c r="F203" s="6">
        <v>45.272002940999997</v>
      </c>
      <c r="G203" s="6">
        <v>85.237079419500006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0" customHeight="1">
      <c r="A204" s="1">
        <v>76</v>
      </c>
      <c r="B204" s="6">
        <v>29.743600000000001</v>
      </c>
      <c r="C204" s="6">
        <v>59.8718</v>
      </c>
      <c r="D204" s="6">
        <v>37.627703299099998</v>
      </c>
      <c r="E204" s="6">
        <v>74.557504341799998</v>
      </c>
      <c r="F204" s="6">
        <v>36.033402150000001</v>
      </c>
      <c r="G204" s="6">
        <v>53.371687755000004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0" customHeight="1">
      <c r="A205" s="1">
        <v>77</v>
      </c>
      <c r="B205" s="6">
        <v>29.743600000000001</v>
      </c>
      <c r="C205" s="6">
        <v>62.179499999999997</v>
      </c>
      <c r="D205" s="6">
        <v>32.263700086299998</v>
      </c>
      <c r="E205" s="6">
        <v>70.316638901199994</v>
      </c>
      <c r="F205" s="6">
        <v>28.271194165299999</v>
      </c>
      <c r="G205" s="6">
        <v>72.840231256999999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0" customHeight="1">
      <c r="A206" s="1">
        <v>78</v>
      </c>
      <c r="B206" s="6">
        <v>31.2821</v>
      </c>
      <c r="C206" s="6">
        <v>62.564100000000003</v>
      </c>
      <c r="D206" s="6">
        <v>32.542380336000001</v>
      </c>
      <c r="E206" s="6">
        <v>70.702417206299998</v>
      </c>
      <c r="F206" s="6">
        <v>25.054806084700001</v>
      </c>
      <c r="G206" s="6">
        <v>71.548597922100001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0" customHeight="1">
      <c r="A207" s="1">
        <v>79</v>
      </c>
      <c r="B207" s="6">
        <v>57.948700000000002</v>
      </c>
      <c r="C207" s="6">
        <v>99.487200000000001</v>
      </c>
      <c r="D207" s="6">
        <v>52.825017192300002</v>
      </c>
      <c r="E207" s="6">
        <v>85.578133879500001</v>
      </c>
      <c r="F207" s="6">
        <v>64.758887001399998</v>
      </c>
      <c r="G207" s="6">
        <v>82.315223640499994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0" customHeight="1">
      <c r="A208" s="1">
        <v>80</v>
      </c>
      <c r="B208" s="6">
        <v>61.794899999999998</v>
      </c>
      <c r="C208" s="6">
        <v>99.102599999999995</v>
      </c>
      <c r="D208" s="6">
        <v>58.528289540700001</v>
      </c>
      <c r="E208" s="6">
        <v>78.978704254099995</v>
      </c>
      <c r="F208" s="6">
        <v>63.144527476699999</v>
      </c>
      <c r="G208" s="6">
        <v>85.236696326399993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0" customHeight="1">
      <c r="A209" s="1">
        <v>81</v>
      </c>
      <c r="B209" s="6">
        <v>64.871799999999993</v>
      </c>
      <c r="C209" s="6">
        <v>97.564099999999996</v>
      </c>
      <c r="D209" s="6">
        <v>56.265834263000002</v>
      </c>
      <c r="E209" s="6">
        <v>79.252939485400006</v>
      </c>
      <c r="F209" s="6">
        <v>50.424678689799997</v>
      </c>
      <c r="G209" s="6">
        <v>85.174747589099994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0" customHeight="1">
      <c r="A210" s="1">
        <v>82</v>
      </c>
      <c r="B210" s="6">
        <v>68.461500000000001</v>
      </c>
      <c r="C210" s="6">
        <v>94.102599999999995</v>
      </c>
      <c r="D210" s="6">
        <v>57.075892419299997</v>
      </c>
      <c r="E210" s="6">
        <v>79.193922538199999</v>
      </c>
      <c r="F210" s="6">
        <v>70.644996262899994</v>
      </c>
      <c r="G210" s="6">
        <v>82.430918756699995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0" customHeight="1">
      <c r="A211" s="1">
        <v>83</v>
      </c>
      <c r="B211" s="6">
        <v>70.769199999999998</v>
      </c>
      <c r="C211" s="6">
        <v>91.025599999999997</v>
      </c>
      <c r="D211" s="6">
        <v>54.256402380799997</v>
      </c>
      <c r="E211" s="6">
        <v>79.313864850399995</v>
      </c>
      <c r="F211" s="6">
        <v>63.149049083400001</v>
      </c>
      <c r="G211" s="6">
        <v>83.946855348499994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0" customHeight="1">
      <c r="A212" s="1">
        <v>84</v>
      </c>
      <c r="B212" s="6">
        <v>72.051299999999998</v>
      </c>
      <c r="C212" s="6">
        <v>86.410300000000007</v>
      </c>
      <c r="D212" s="6">
        <v>62.685671247499997</v>
      </c>
      <c r="E212" s="6">
        <v>78.174743271899999</v>
      </c>
      <c r="F212" s="6">
        <v>62.824024517200002</v>
      </c>
      <c r="G212" s="6">
        <v>84.966185950699995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0" customHeight="1">
      <c r="A213" s="1">
        <v>85</v>
      </c>
      <c r="B213" s="6">
        <v>73.846199999999996</v>
      </c>
      <c r="C213" s="6">
        <v>83.333299999999994</v>
      </c>
      <c r="D213" s="6">
        <v>68.085605861600001</v>
      </c>
      <c r="E213" s="6">
        <v>76.112317500100005</v>
      </c>
      <c r="F213" s="6">
        <v>70.236869514999995</v>
      </c>
      <c r="G213" s="6">
        <v>82.171151062099995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0" customHeight="1">
      <c r="A214" s="1">
        <v>86</v>
      </c>
      <c r="B214" s="6">
        <v>75.128200000000007</v>
      </c>
      <c r="C214" s="6">
        <v>79.102599999999995</v>
      </c>
      <c r="D214" s="6">
        <v>65.118121963199997</v>
      </c>
      <c r="E214" s="6">
        <v>77.399188454300003</v>
      </c>
      <c r="F214" s="6">
        <v>70.042735244900001</v>
      </c>
      <c r="G214" s="6">
        <v>80.385021354700001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0" customHeight="1">
      <c r="A215" s="1">
        <v>87</v>
      </c>
      <c r="B215" s="6">
        <v>76.666700000000006</v>
      </c>
      <c r="C215" s="6">
        <v>75.256399999999999</v>
      </c>
      <c r="D215" s="6">
        <v>68.745631297100005</v>
      </c>
      <c r="E215" s="6">
        <v>75.790055454799997</v>
      </c>
      <c r="F215" s="6">
        <v>72.570623445799995</v>
      </c>
      <c r="G215" s="6">
        <v>80.971218434600004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0" customHeight="1">
      <c r="A216" s="1">
        <v>88</v>
      </c>
      <c r="B216" s="6">
        <v>77.692300000000003</v>
      </c>
      <c r="C216" s="6">
        <v>71.410300000000007</v>
      </c>
      <c r="D216" s="6">
        <v>63.090225141200001</v>
      </c>
      <c r="E216" s="6">
        <v>78.041409494999996</v>
      </c>
      <c r="F216" s="6">
        <v>75.130716037300004</v>
      </c>
      <c r="G216" s="6">
        <v>79.984093140300004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0" customHeight="1">
      <c r="A217" s="1">
        <v>89</v>
      </c>
      <c r="B217" s="6">
        <v>79.743600000000001</v>
      </c>
      <c r="C217" s="6">
        <v>66.794899999999998</v>
      </c>
      <c r="D217" s="6">
        <v>77.204589320400004</v>
      </c>
      <c r="E217" s="6">
        <v>69.312149765800001</v>
      </c>
      <c r="F217" s="6">
        <v>83.293905734500001</v>
      </c>
      <c r="G217" s="6">
        <v>70.778431787599999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0" customHeight="1">
      <c r="A218" s="1">
        <v>90</v>
      </c>
      <c r="B218" s="6">
        <v>81.794899999999998</v>
      </c>
      <c r="C218" s="6">
        <v>60.256399999999999</v>
      </c>
      <c r="D218" s="6">
        <v>82.033908475800004</v>
      </c>
      <c r="E218" s="6">
        <v>62.681869785899998</v>
      </c>
      <c r="F218" s="6">
        <v>79.664262277500001</v>
      </c>
      <c r="G218" s="6">
        <v>73.932309715700001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0" customHeight="1">
      <c r="A219" s="1">
        <v>91</v>
      </c>
      <c r="B219" s="6">
        <v>83.333299999999994</v>
      </c>
      <c r="C219" s="6">
        <v>55.256399999999999</v>
      </c>
      <c r="D219" s="6">
        <v>81.577945918300003</v>
      </c>
      <c r="E219" s="6">
        <v>63.894925500500001</v>
      </c>
      <c r="F219" s="6">
        <v>88.432102525399998</v>
      </c>
      <c r="G219" s="6">
        <v>64.624247002299995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0" customHeight="1">
      <c r="A220" s="1">
        <v>92</v>
      </c>
      <c r="B220" s="6">
        <v>85.128200000000007</v>
      </c>
      <c r="C220" s="6">
        <v>51.410299999999999</v>
      </c>
      <c r="D220" s="6">
        <v>85.180143280500005</v>
      </c>
      <c r="E220" s="6">
        <v>53.781676660700001</v>
      </c>
      <c r="F220" s="6">
        <v>89.115559008199995</v>
      </c>
      <c r="G220" s="6">
        <v>64.001506638799995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0" customHeight="1">
      <c r="A221" s="1">
        <v>93</v>
      </c>
      <c r="B221" s="6">
        <v>86.410300000000007</v>
      </c>
      <c r="C221" s="6">
        <v>47.564100000000003</v>
      </c>
      <c r="D221" s="6">
        <v>84.286824993600007</v>
      </c>
      <c r="E221" s="6">
        <v>57.256168089600003</v>
      </c>
      <c r="F221" s="6">
        <v>89.092197630499996</v>
      </c>
      <c r="G221" s="6">
        <v>57.768193046999997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0" customHeight="1">
      <c r="A222" s="1">
        <v>94</v>
      </c>
      <c r="B222" s="6">
        <v>87.948700000000002</v>
      </c>
      <c r="C222" s="6">
        <v>46.025599999999997</v>
      </c>
      <c r="D222" s="6">
        <v>85.622486712599994</v>
      </c>
      <c r="E222" s="6">
        <v>45.0241658646</v>
      </c>
      <c r="F222" s="6">
        <v>91.726005772700006</v>
      </c>
      <c r="G222" s="6">
        <v>52.623353257300003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0" customHeight="1">
      <c r="A223" s="1">
        <v>95</v>
      </c>
      <c r="B223" s="6">
        <v>89.487200000000001</v>
      </c>
      <c r="C223" s="6">
        <v>42.564100000000003</v>
      </c>
      <c r="D223" s="6">
        <v>85.604499015599998</v>
      </c>
      <c r="E223" s="6">
        <v>50.762337905499997</v>
      </c>
      <c r="F223" s="6">
        <v>91.735538759799994</v>
      </c>
      <c r="G223" s="6">
        <v>48.970210887699999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0" customHeight="1">
      <c r="A224" s="1">
        <v>96</v>
      </c>
      <c r="B224" s="6">
        <v>93.333299999999994</v>
      </c>
      <c r="C224" s="6">
        <v>39.8718</v>
      </c>
      <c r="D224" s="6">
        <v>84.424785827600004</v>
      </c>
      <c r="E224" s="6">
        <v>38.761410163999997</v>
      </c>
      <c r="F224" s="6">
        <v>91.5078881747</v>
      </c>
      <c r="G224" s="6">
        <v>53.312652085099998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0" customHeight="1">
      <c r="A225" s="1">
        <v>97</v>
      </c>
      <c r="B225" s="6">
        <v>95.384600000000006</v>
      </c>
      <c r="C225" s="6">
        <v>36.794899999999998</v>
      </c>
      <c r="D225" s="6">
        <v>85.570985078000007</v>
      </c>
      <c r="E225" s="6">
        <v>44.560096439699997</v>
      </c>
      <c r="F225" s="6">
        <v>88.239001904000006</v>
      </c>
      <c r="G225" s="6">
        <v>31.4774348786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0" customHeight="1">
      <c r="A226" s="1">
        <v>98</v>
      </c>
      <c r="B226" s="6">
        <v>98.205100000000002</v>
      </c>
      <c r="C226" s="6">
        <v>33.718000000000004</v>
      </c>
      <c r="D226" s="6">
        <v>84.626724200599995</v>
      </c>
      <c r="E226" s="6">
        <v>39.487077508399999</v>
      </c>
      <c r="F226" s="6">
        <v>88.530519204100003</v>
      </c>
      <c r="G226" s="6">
        <v>30.4760310098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0" customHeight="1">
      <c r="A227" s="1">
        <v>99</v>
      </c>
      <c r="B227" s="6">
        <v>56.666699999999999</v>
      </c>
      <c r="C227" s="6">
        <v>40.640999999999998</v>
      </c>
      <c r="D227" s="6">
        <v>73.396154925199994</v>
      </c>
      <c r="E227" s="6">
        <v>22.8162479426</v>
      </c>
      <c r="F227" s="6">
        <v>55.365160336400002</v>
      </c>
      <c r="G227" s="6">
        <v>30.4458502777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0" customHeight="1">
      <c r="A228" s="1">
        <v>100</v>
      </c>
      <c r="B228" s="6">
        <v>59.230800000000002</v>
      </c>
      <c r="C228" s="6">
        <v>38.333300000000001</v>
      </c>
      <c r="D228" s="6">
        <v>73.507447733800007</v>
      </c>
      <c r="E228" s="6">
        <v>22.8569887644</v>
      </c>
      <c r="F228" s="6">
        <v>62.560258869400002</v>
      </c>
      <c r="G228" s="6">
        <v>30.447135666099999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0" customHeight="1">
      <c r="A229" s="1">
        <v>101</v>
      </c>
      <c r="B229" s="6">
        <v>60.769199999999998</v>
      </c>
      <c r="C229" s="6">
        <v>33.718000000000004</v>
      </c>
      <c r="D229" s="6">
        <v>63.356488113499999</v>
      </c>
      <c r="E229" s="6">
        <v>17.724068842400001</v>
      </c>
      <c r="F229" s="6">
        <v>58.006669122700004</v>
      </c>
      <c r="G229" s="6">
        <v>30.2537212987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0" customHeight="1">
      <c r="A230" s="1">
        <v>102</v>
      </c>
      <c r="B230" s="6">
        <v>63.076900000000002</v>
      </c>
      <c r="C230" s="6">
        <v>29.102599999999999</v>
      </c>
      <c r="D230" s="6">
        <v>72.959046872200005</v>
      </c>
      <c r="E230" s="6">
        <v>22.5114998325</v>
      </c>
      <c r="F230" s="6">
        <v>55.067117991700002</v>
      </c>
      <c r="G230" s="6">
        <v>29.011535199699999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0" customHeight="1">
      <c r="A231" s="1">
        <v>103</v>
      </c>
      <c r="B231" s="6">
        <v>64.102599999999995</v>
      </c>
      <c r="C231" s="6">
        <v>25.256399999999999</v>
      </c>
      <c r="D231" s="6">
        <v>64.020841646899996</v>
      </c>
      <c r="E231" s="6">
        <v>17.883581252100001</v>
      </c>
      <c r="F231" s="6">
        <v>61.614775961200003</v>
      </c>
      <c r="G231" s="6">
        <v>29.994391194199999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0" customHeight="1">
      <c r="A232" s="1">
        <v>104</v>
      </c>
      <c r="B232" s="6">
        <v>64.358999999999995</v>
      </c>
      <c r="C232" s="6">
        <v>24.102599999999999</v>
      </c>
      <c r="D232" s="6">
        <v>61.124463241000001</v>
      </c>
      <c r="E232" s="6">
        <v>17.116353359200001</v>
      </c>
      <c r="F232" s="6">
        <v>68.543143537800006</v>
      </c>
      <c r="G232" s="6">
        <v>35.657832170600003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0" customHeight="1">
      <c r="A233" s="1">
        <v>105</v>
      </c>
      <c r="B233" s="6">
        <v>74.358999999999995</v>
      </c>
      <c r="C233" s="6">
        <v>22.948699999999999</v>
      </c>
      <c r="D233" s="6">
        <v>75.674207329699996</v>
      </c>
      <c r="E233" s="6">
        <v>24.782500965699999</v>
      </c>
      <c r="F233" s="6">
        <v>77.706109648699993</v>
      </c>
      <c r="G233" s="6">
        <v>20.3042601852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0" customHeight="1">
      <c r="A234" s="1">
        <v>106</v>
      </c>
      <c r="B234" s="6">
        <v>71.2821</v>
      </c>
      <c r="C234" s="6">
        <v>22.948699999999999</v>
      </c>
      <c r="D234" s="6">
        <v>69.513583157400006</v>
      </c>
      <c r="E234" s="6">
        <v>20.279357892699998</v>
      </c>
      <c r="F234" s="6">
        <v>68.453045999899999</v>
      </c>
      <c r="G234" s="6">
        <v>13.0355285908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0" customHeight="1">
      <c r="A235" s="1">
        <v>107</v>
      </c>
      <c r="B235" s="6">
        <v>67.948700000000002</v>
      </c>
      <c r="C235" s="6">
        <v>22.179500000000001</v>
      </c>
      <c r="D235" s="6">
        <v>58.572135466900001</v>
      </c>
      <c r="E235" s="6">
        <v>16.642703808</v>
      </c>
      <c r="F235" s="6">
        <v>68.257206440199994</v>
      </c>
      <c r="G235" s="6">
        <v>12.3846391542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0" customHeight="1">
      <c r="A236" s="1">
        <v>108</v>
      </c>
      <c r="B236" s="6">
        <v>65.897400000000005</v>
      </c>
      <c r="C236" s="6">
        <v>20.256399999999999</v>
      </c>
      <c r="D236" s="6">
        <v>70.981940986500007</v>
      </c>
      <c r="E236" s="6">
        <v>21.145888103899999</v>
      </c>
      <c r="F236" s="6">
        <v>70.255474673899997</v>
      </c>
      <c r="G236" s="6">
        <v>13.250384968900001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0" customHeight="1">
      <c r="A237" s="1">
        <v>109</v>
      </c>
      <c r="B237" s="6">
        <v>63.076900000000002</v>
      </c>
      <c r="C237" s="6">
        <v>19.102599999999999</v>
      </c>
      <c r="D237" s="6">
        <v>65.223030397299993</v>
      </c>
      <c r="E237" s="6">
        <v>18.397195122300001</v>
      </c>
      <c r="F237" s="6">
        <v>65.044325277799999</v>
      </c>
      <c r="G237" s="6">
        <v>11.0008414785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0" customHeight="1">
      <c r="A238" s="1">
        <v>110</v>
      </c>
      <c r="B238" s="6">
        <v>61.2821</v>
      </c>
      <c r="C238" s="6">
        <v>19.102599999999999</v>
      </c>
      <c r="D238" s="6">
        <v>65.315043909300002</v>
      </c>
      <c r="E238" s="6">
        <v>18.3337482986</v>
      </c>
      <c r="F238" s="6">
        <v>60.0922466078</v>
      </c>
      <c r="G238" s="6">
        <v>11.8721117093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0" customHeight="1">
      <c r="A239" s="1">
        <v>111</v>
      </c>
      <c r="B239" s="6">
        <v>58.7179</v>
      </c>
      <c r="C239" s="6">
        <v>18.333300000000001</v>
      </c>
      <c r="D239" s="6">
        <v>64.010240677799999</v>
      </c>
      <c r="E239" s="6">
        <v>17.924478191199999</v>
      </c>
      <c r="F239" s="6">
        <v>52.992028966699998</v>
      </c>
      <c r="G239" s="6">
        <v>9.9066684833499998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0" customHeight="1">
      <c r="A240" s="1">
        <v>112</v>
      </c>
      <c r="B240" s="6">
        <v>55.1282</v>
      </c>
      <c r="C240" s="6">
        <v>18.333300000000001</v>
      </c>
      <c r="D240" s="6">
        <v>57.140935929400001</v>
      </c>
      <c r="E240" s="6">
        <v>16.598610543700001</v>
      </c>
      <c r="F240" s="6">
        <v>50.144628977300002</v>
      </c>
      <c r="G240" s="6">
        <v>12.2115430946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0" customHeight="1">
      <c r="A241" s="1">
        <v>113</v>
      </c>
      <c r="B241" s="6">
        <v>52.307699999999997</v>
      </c>
      <c r="C241" s="6">
        <v>18.333300000000001</v>
      </c>
      <c r="D241" s="6">
        <v>56.365153255199999</v>
      </c>
      <c r="E241" s="6">
        <v>16.326546374199999</v>
      </c>
      <c r="F241" s="6">
        <v>46.508614193200003</v>
      </c>
      <c r="G241" s="6">
        <v>11.207134488099999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20" customHeight="1">
      <c r="A242" s="1">
        <v>114</v>
      </c>
      <c r="B242" s="6">
        <v>49.743600000000001</v>
      </c>
      <c r="C242" s="6">
        <v>17.5641</v>
      </c>
      <c r="D242" s="6">
        <v>43.046183241000001</v>
      </c>
      <c r="E242" s="6">
        <v>18.402559394800001</v>
      </c>
      <c r="F242" s="6">
        <v>43.807031961200003</v>
      </c>
      <c r="G242" s="6">
        <v>11.318944886500001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20" customHeight="1">
      <c r="A243" s="1">
        <v>115</v>
      </c>
      <c r="B243" s="6">
        <v>47.435899999999997</v>
      </c>
      <c r="C243" s="6">
        <v>16.025600000000001</v>
      </c>
      <c r="D243" s="6">
        <v>52.081755558200001</v>
      </c>
      <c r="E243" s="6">
        <v>16.4538745312</v>
      </c>
      <c r="F243" s="6">
        <v>57.817854686499999</v>
      </c>
      <c r="G243" s="6">
        <v>10.945142430600001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0" customHeight="1">
      <c r="A244" s="1">
        <v>116</v>
      </c>
      <c r="B244" s="6">
        <v>44.8718</v>
      </c>
      <c r="C244" s="6">
        <v>13.718</v>
      </c>
      <c r="D244" s="6">
        <v>42.879036515400003</v>
      </c>
      <c r="E244" s="6">
        <v>18.489411025199999</v>
      </c>
      <c r="F244" s="6">
        <v>50.940492659500002</v>
      </c>
      <c r="G244" s="6">
        <v>9.6915471344699995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20" customHeight="1">
      <c r="A245" s="1">
        <v>117</v>
      </c>
      <c r="B245" s="6">
        <v>48.7179</v>
      </c>
      <c r="C245" s="6">
        <v>14.8718</v>
      </c>
      <c r="D245" s="6">
        <v>51.566994802700002</v>
      </c>
      <c r="E245" s="6">
        <v>16.4857136372</v>
      </c>
      <c r="F245" s="6">
        <v>63.4973230835</v>
      </c>
      <c r="G245" s="6">
        <v>11.914069170699999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0" customHeight="1">
      <c r="A246" s="1">
        <v>118</v>
      </c>
      <c r="B246" s="6">
        <v>51.2821</v>
      </c>
      <c r="C246" s="6">
        <v>14.8718</v>
      </c>
      <c r="D246" s="6">
        <v>58.839125121599999</v>
      </c>
      <c r="E246" s="6">
        <v>16.6376352154</v>
      </c>
      <c r="F246" s="6">
        <v>50.016482954099999</v>
      </c>
      <c r="G246" s="6">
        <v>11.9338520864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20" customHeight="1">
      <c r="A247" s="1">
        <v>119</v>
      </c>
      <c r="B247" s="6">
        <v>54.102600000000002</v>
      </c>
      <c r="C247" s="6">
        <v>14.8718</v>
      </c>
      <c r="D247" s="6">
        <v>60.755789137400001</v>
      </c>
      <c r="E247" s="6">
        <v>17.0332315064</v>
      </c>
      <c r="F247" s="6">
        <v>58.636765080899998</v>
      </c>
      <c r="G247" s="6">
        <v>11.974721065200001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20" customHeight="1">
      <c r="A248" s="1">
        <v>120</v>
      </c>
      <c r="B248" s="6">
        <v>56.153799999999997</v>
      </c>
      <c r="C248" s="6">
        <v>14.102600000000001</v>
      </c>
      <c r="D248" s="6">
        <v>54.761156118099997</v>
      </c>
      <c r="E248" s="6">
        <v>16.366189095399999</v>
      </c>
      <c r="F248" s="6">
        <v>54.730289086299997</v>
      </c>
      <c r="G248" s="6">
        <v>11.4128826732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20" customHeight="1">
      <c r="A249" s="1">
        <v>121</v>
      </c>
      <c r="B249" s="6">
        <v>52.051299999999998</v>
      </c>
      <c r="C249" s="6">
        <v>12.5641</v>
      </c>
      <c r="D249" s="6">
        <v>53.569905000299997</v>
      </c>
      <c r="E249" s="6">
        <v>16.339712550600002</v>
      </c>
      <c r="F249" s="6">
        <v>65.875547802300005</v>
      </c>
      <c r="G249" s="6">
        <v>11.7324363627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0" customHeight="1">
      <c r="A250" s="1">
        <v>122</v>
      </c>
      <c r="B250" s="6">
        <v>48.7179</v>
      </c>
      <c r="C250" s="6">
        <v>11.025600000000001</v>
      </c>
      <c r="D250" s="6">
        <v>48.914618241600003</v>
      </c>
      <c r="E250" s="6">
        <v>16.798637082599999</v>
      </c>
      <c r="F250" s="6">
        <v>57.060982713100003</v>
      </c>
      <c r="G250" s="6">
        <v>9.9205608544399997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20" customHeight="1">
      <c r="A251" s="1">
        <v>123</v>
      </c>
      <c r="B251" s="6">
        <v>47.179499999999997</v>
      </c>
      <c r="C251" s="6">
        <v>9.8718000000000004</v>
      </c>
      <c r="D251" s="6">
        <v>52.646137306900002</v>
      </c>
      <c r="E251" s="6">
        <v>16.3848363836</v>
      </c>
      <c r="F251" s="6">
        <v>46.819907946000001</v>
      </c>
      <c r="G251" s="6">
        <v>10.4946526804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20" customHeight="1">
      <c r="A252" s="1">
        <v>124</v>
      </c>
      <c r="B252" s="6">
        <v>46.153799999999997</v>
      </c>
      <c r="C252" s="6">
        <v>6.0255999999999998</v>
      </c>
      <c r="D252" s="6">
        <v>49.838492990500001</v>
      </c>
      <c r="E252" s="6">
        <v>16.6763302777</v>
      </c>
      <c r="F252" s="6">
        <v>38.359394872499998</v>
      </c>
      <c r="G252" s="6">
        <v>13.431322624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20" customHeight="1">
      <c r="A253" s="1">
        <v>125</v>
      </c>
      <c r="B253" s="6">
        <v>50.512799999999999</v>
      </c>
      <c r="C253" s="6">
        <v>9.4871999999999996</v>
      </c>
      <c r="D253" s="6">
        <v>52.684066400900001</v>
      </c>
      <c r="E253" s="6">
        <v>16.407962782599999</v>
      </c>
      <c r="F253" s="6">
        <v>47.315415777299997</v>
      </c>
      <c r="G253" s="6">
        <v>12.853451784000001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20" customHeight="1">
      <c r="A254" s="1">
        <v>126</v>
      </c>
      <c r="B254" s="6">
        <v>53.846200000000003</v>
      </c>
      <c r="C254" s="6">
        <v>10.256399999999999</v>
      </c>
      <c r="D254" s="6">
        <v>65.807219034599996</v>
      </c>
      <c r="E254" s="6">
        <v>18.140764947299999</v>
      </c>
      <c r="F254" s="6">
        <v>55.051916539600001</v>
      </c>
      <c r="G254" s="6">
        <v>11.949988618100001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0" customHeight="1">
      <c r="A255" s="1">
        <v>127</v>
      </c>
      <c r="B255" s="6">
        <v>57.435899999999997</v>
      </c>
      <c r="C255" s="6">
        <v>10.256399999999999</v>
      </c>
      <c r="D255" s="6">
        <v>60.673920923300003</v>
      </c>
      <c r="E255" s="6">
        <v>17.0518023644</v>
      </c>
      <c r="F255" s="6">
        <v>50.515960257899998</v>
      </c>
      <c r="G255" s="6">
        <v>9.7655916218699996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20" customHeight="1">
      <c r="A256" s="1">
        <v>128</v>
      </c>
      <c r="B256" s="6">
        <v>60</v>
      </c>
      <c r="C256" s="6">
        <v>10.641</v>
      </c>
      <c r="D256" s="6">
        <v>63.394712865999999</v>
      </c>
      <c r="E256" s="6">
        <v>17.700535135399999</v>
      </c>
      <c r="F256" s="6">
        <v>49.677414651399999</v>
      </c>
      <c r="G256" s="6">
        <v>10.383132508299999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20" customHeight="1">
      <c r="A257" s="1">
        <v>129</v>
      </c>
      <c r="B257" s="6">
        <v>64.102599999999995</v>
      </c>
      <c r="C257" s="6">
        <v>10.641</v>
      </c>
      <c r="D257" s="6">
        <v>64.802009446699998</v>
      </c>
      <c r="E257" s="6">
        <v>18.216878633499999</v>
      </c>
      <c r="F257" s="6">
        <v>67.280659518799993</v>
      </c>
      <c r="G257" s="6">
        <v>14.128651532299999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20" customHeight="1">
      <c r="A258" s="1">
        <v>130</v>
      </c>
      <c r="B258" s="6">
        <v>66.923100000000005</v>
      </c>
      <c r="C258" s="6">
        <v>10.641</v>
      </c>
      <c r="D258" s="6">
        <v>65.025939808700002</v>
      </c>
      <c r="E258" s="6">
        <v>18.287824500199999</v>
      </c>
      <c r="F258" s="6">
        <v>66.173018260600003</v>
      </c>
      <c r="G258" s="6">
        <v>12.0379170217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20" customHeight="1">
      <c r="A259" s="1">
        <v>131</v>
      </c>
      <c r="B259" s="6">
        <v>71.2821</v>
      </c>
      <c r="C259" s="6">
        <v>10.641</v>
      </c>
      <c r="D259" s="6">
        <v>65.755551540400006</v>
      </c>
      <c r="E259" s="6">
        <v>18.516215830299998</v>
      </c>
      <c r="F259" s="6">
        <v>61.0885441374</v>
      </c>
      <c r="G259" s="6">
        <v>10.0845344144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0" customHeight="1">
      <c r="A260" s="1">
        <v>132</v>
      </c>
      <c r="B260" s="6">
        <v>74.358999999999995</v>
      </c>
      <c r="C260" s="6">
        <v>10.641</v>
      </c>
      <c r="D260" s="6">
        <v>69.967734124499998</v>
      </c>
      <c r="E260" s="6">
        <v>20.5389887758</v>
      </c>
      <c r="F260" s="6">
        <v>66.053085773099994</v>
      </c>
      <c r="G260" s="6">
        <v>13.380226007299999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20" customHeight="1">
      <c r="A261" s="1">
        <v>133</v>
      </c>
      <c r="B261" s="6">
        <v>78.205100000000002</v>
      </c>
      <c r="C261" s="6">
        <v>10.641</v>
      </c>
      <c r="D261" s="6">
        <v>68.892784024099996</v>
      </c>
      <c r="E261" s="6">
        <v>20.032448842899999</v>
      </c>
      <c r="F261" s="6">
        <v>72.669989265500007</v>
      </c>
      <c r="G261" s="6">
        <v>15.2342259409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20" customHeight="1">
      <c r="A262" s="1">
        <v>134</v>
      </c>
      <c r="B262" s="6">
        <v>67.948700000000002</v>
      </c>
      <c r="C262" s="6">
        <v>8.718</v>
      </c>
      <c r="D262" s="6">
        <v>61.826546557900002</v>
      </c>
      <c r="E262" s="6">
        <v>17.269655445200002</v>
      </c>
      <c r="F262" s="6">
        <v>61.503472502999998</v>
      </c>
      <c r="G262" s="6">
        <v>10.828414475400001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20" customHeight="1">
      <c r="A263" s="1">
        <v>135</v>
      </c>
      <c r="B263" s="6">
        <v>68.461500000000001</v>
      </c>
      <c r="C263" s="6">
        <v>5.2564000000000002</v>
      </c>
      <c r="D263" s="6">
        <v>60.787970080800001</v>
      </c>
      <c r="E263" s="6">
        <v>17.046204858300001</v>
      </c>
      <c r="F263" s="6">
        <v>68.995028632</v>
      </c>
      <c r="G263" s="6">
        <v>13.9943105293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20" customHeight="1">
      <c r="A264" s="1">
        <v>136</v>
      </c>
      <c r="B264" s="6">
        <v>68.205100000000002</v>
      </c>
      <c r="C264" s="6">
        <v>2.9487000000000001</v>
      </c>
      <c r="D264" s="6">
        <v>61.915609637199999</v>
      </c>
      <c r="E264" s="6">
        <v>17.282191222800002</v>
      </c>
      <c r="F264" s="6">
        <v>78.249916165800002</v>
      </c>
      <c r="G264" s="6">
        <v>17.883240906800001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20" customHeight="1">
      <c r="A265" s="1">
        <v>137</v>
      </c>
      <c r="B265" s="6">
        <v>37.692300000000003</v>
      </c>
      <c r="C265" s="6">
        <v>25.769200000000001</v>
      </c>
      <c r="D265" s="6">
        <v>45.028997533099997</v>
      </c>
      <c r="E265" s="6">
        <v>17.7244473049</v>
      </c>
      <c r="F265" s="6">
        <v>36.481980569900003</v>
      </c>
      <c r="G265" s="6">
        <v>15.162760094399999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20" customHeight="1">
      <c r="A266" s="1">
        <v>138</v>
      </c>
      <c r="B266" s="6">
        <v>39.487200000000001</v>
      </c>
      <c r="C266" s="6">
        <v>25.384599999999999</v>
      </c>
      <c r="D266" s="6">
        <v>39.921362808399998</v>
      </c>
      <c r="E266" s="6">
        <v>19.701849528099999</v>
      </c>
      <c r="F266" s="6">
        <v>50.967748378400003</v>
      </c>
      <c r="G266" s="6">
        <v>29.679774287499999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20" customHeight="1">
      <c r="A267" s="1">
        <v>139</v>
      </c>
      <c r="B267" s="6">
        <v>91.2821</v>
      </c>
      <c r="C267" s="6">
        <v>41.538499999999999</v>
      </c>
      <c r="D267" s="6">
        <v>84.794277875099993</v>
      </c>
      <c r="E267" s="6">
        <v>55.568650373499999</v>
      </c>
      <c r="F267" s="6">
        <v>91.191053605899995</v>
      </c>
      <c r="G267" s="6">
        <v>46.6743428399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20" customHeight="1">
      <c r="A268" s="1">
        <v>140</v>
      </c>
      <c r="B268" s="6">
        <v>50</v>
      </c>
      <c r="C268" s="6">
        <v>95.769199999999998</v>
      </c>
      <c r="D268" s="6">
        <v>55.662958744900003</v>
      </c>
      <c r="E268" s="6">
        <v>83.356479624299993</v>
      </c>
      <c r="F268" s="6">
        <v>55.863768493899997</v>
      </c>
      <c r="G268" s="6">
        <v>85.336486757299994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0" customHeight="1">
      <c r="A269" s="1">
        <v>141</v>
      </c>
      <c r="B269" s="6">
        <v>47.948700000000002</v>
      </c>
      <c r="C269" s="6">
        <v>95</v>
      </c>
      <c r="D269" s="6">
        <v>50.492247513199999</v>
      </c>
      <c r="E269" s="6">
        <v>78.997532065000001</v>
      </c>
      <c r="F269" s="6">
        <v>49.280594798700001</v>
      </c>
      <c r="G269" s="6">
        <v>84.048822830600002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20" customHeight="1">
      <c r="A270" s="1">
        <v>142</v>
      </c>
      <c r="B270" s="6">
        <v>44.102600000000002</v>
      </c>
      <c r="C270" s="6">
        <v>92.692300000000003</v>
      </c>
      <c r="D270" s="6">
        <v>51.467101141599997</v>
      </c>
      <c r="E270" s="6">
        <v>79.201844577299994</v>
      </c>
      <c r="F270" s="6">
        <v>43.368501544700003</v>
      </c>
      <c r="G270" s="6">
        <v>84.332177203900002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2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</sheetData>
  <pageMargins left="0.7" right="0.7" top="0.75" bottom="0.75" header="0.3" footer="0.3"/>
  <pageSetup paperSize="9" scale="52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Lab 1</vt:lpstr>
      <vt:lpstr>'Lab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Aleksander Łyskawa (275462)</cp:lastModifiedBy>
  <cp:lastPrinted>2026-10-20T14:46:08Z</cp:lastPrinted>
  <dcterms:created xsi:type="dcterms:W3CDTF">2026-10-20T14:42:43Z</dcterms:created>
  <dcterms:modified xsi:type="dcterms:W3CDTF">2026-10-20T15:12:39Z</dcterms:modified>
</cp:coreProperties>
</file>