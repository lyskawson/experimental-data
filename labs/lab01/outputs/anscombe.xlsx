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6aa5f50af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yniki" sheetId="1" r:id="R988c7a18e77d4be3"/>
    <x:sheet xmlns:r="http://schemas.openxmlformats.org/officeDocument/2006/relationships" name="Dane" sheetId="2" r:id="R6a276b81e41e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"/>
  </x:numFmts>
  <x:fonts count="7">
    <x:font>
      <x:sz val="11"/>
      <x:name val="Carlito"/>
    </x:font>
    <x:font>
      <x:sz val="10"/>
      <x:color rgb="FF253746"/>
      <x:name val="Arial"/>
    </x:font>
    <x:font>
      <x:b/>
      <x:sz val="15"/>
      <x:color rgb="FF253746"/>
      <x:name val="Arial"/>
    </x:font>
    <x:font>
      <x:i/>
      <x:sz val="10"/>
      <x:color rgb="FF253746"/>
      <x:name val="Arial"/>
    </x:font>
    <x:font>
      <x:b/>
      <x:sz val="10"/>
      <x:color rgb="FFFFFFFF"/>
      <x:name val="Arial"/>
    </x:font>
    <x:font>
      <x:b/>
      <x:sz val="14"/>
      <x:color rgb="FF253746"/>
      <x:name val="Arial"/>
    </x:font>
    <x:font>
      <x:sz val="10"/>
      <x:color rgb="FF245B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a575667fe4021" /><Relationship Type="http://schemas.openxmlformats.org/officeDocument/2006/relationships/theme" Target="/xl/theme/theme1.xml" Id="Rd802a7637b534e38" /><Relationship Type="http://schemas.openxmlformats.org/officeDocument/2006/relationships/sharedStrings" Target="/xl/sharedStrings.xml" Id="Raa595277cc9541e8" /><Relationship Type="http://schemas.openxmlformats.org/officeDocument/2006/relationships/worksheet" Target="/xl/worksheets/sheet1.xml" Id="R988c7a18e77d4be3" /><Relationship Type="http://schemas.openxmlformats.org/officeDocument/2006/relationships/worksheet" Target="/xl/worksheets/sheet2.xml" Id="R6a276b81e41e46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7dfc7eda9e40cf" /><Relationship Type="http://schemas.openxmlformats.org/officeDocument/2006/relationships/chart" Target="/xl/drawings/charts/chart2.xml" Id="Ra8a78d12b63b4930" /><Relationship Type="http://schemas.openxmlformats.org/officeDocument/2006/relationships/chart" Target="/xl/drawings/charts/chart3.xml" Id="Rd9cfa8f2c5264f06" /><Relationship Type="http://schemas.openxmlformats.org/officeDocument/2006/relationships/chart" Target="/xl/drawings/charts/chart4.xml" Id="Rd1bcd9fd816449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Seria I: obserwacje i prosta MNK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 I</c:v>
          </c:tx>
          <c:spPr>
            <a:solidFill xmlns:a="http://schemas.openxmlformats.org/drawingml/2006/main">
              <a:srgbClr val="245B78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45B78"/>
              </a:solidFill>
            </c:spPr>
          </c:marker>
          <c:trendline>
            <c:name>Regresja MNK</c:name>
            <c:spPr>
              <a:ln xmlns:a="http://schemas.openxmlformats.org/drawingml/2006/main" w="17145">
                <a:solidFill>
                  <a:srgbClr val="374151"/>
                </a:solidFill>
                <a:prstDash val="solid"/>
              </a:ln>
            </c:spPr>
            <c:trendlineType val="linear"/>
          </c:trendline>
          <c:xVal>
            <c:numRef>
              <c:f>'Dane'!$B$5:$B$15</c:f>
              <c:numCache>
                <c:formatCode>0.00</c:formatCode>
                <c:ptCount val="0"/>
              </c:numCache>
            </c:numRef>
          </c:xVal>
          <c:yVal>
            <c:numRef>
              <c:f>'Dane'!$C$5:$C$15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Seria II: obserwacje i prosta MNK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 II</c:v>
          </c:tx>
          <c:spPr>
            <a:solidFill xmlns:a="http://schemas.openxmlformats.org/drawingml/2006/main">
              <a:srgbClr val="B55A36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B55A36"/>
              </a:solidFill>
            </c:spPr>
          </c:marker>
          <c:trendline>
            <c:name>Regresja MNK</c:name>
            <c:spPr>
              <a:ln xmlns:a="http://schemas.openxmlformats.org/drawingml/2006/main" w="17145">
                <a:solidFill>
                  <a:srgbClr val="374151"/>
                </a:solidFill>
                <a:prstDash val="solid"/>
              </a:ln>
            </c:spPr>
            <c:trendlineType val="linear"/>
          </c:trendline>
          <c:xVal>
            <c:numRef>
              <c:f>'Dane'!$D$5:$D$15</c:f>
              <c:numCache>
                <c:formatCode>0.00</c:formatCode>
                <c:ptCount val="0"/>
              </c:numCache>
            </c:numRef>
          </c:xVal>
          <c:yVal>
            <c:numRef>
              <c:f>'Dane'!$E$5:$E$15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Seria III: obserwacje i prosta MNK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 III</c:v>
          </c:tx>
          <c:spPr>
            <a:solidFill xmlns:a="http://schemas.openxmlformats.org/drawingml/2006/main">
              <a:srgbClr val="387B69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387B69"/>
              </a:solidFill>
            </c:spPr>
          </c:marker>
          <c:trendline>
            <c:name>Regresja MNK</c:name>
            <c:spPr>
              <a:ln xmlns:a="http://schemas.openxmlformats.org/drawingml/2006/main" w="17145">
                <a:solidFill>
                  <a:srgbClr val="374151"/>
                </a:solidFill>
                <a:prstDash val="solid"/>
              </a:ln>
            </c:spPr>
            <c:trendlineType val="linear"/>
          </c:trendline>
          <c:xVal>
            <c:numRef>
              <c:f>'Dane'!$F$5:$F$15</c:f>
              <c:numCache>
                <c:formatCode>0.00</c:formatCode>
                <c:ptCount val="0"/>
              </c:numCache>
            </c:numRef>
          </c:xVal>
          <c:yVal>
            <c:numRef>
              <c:f>'Dane'!$G$5:$G$15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Seria IV: obserwacje i prosta MNK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 IV</c:v>
          </c:tx>
          <c:spPr>
            <a:solidFill xmlns:a="http://schemas.openxmlformats.org/drawingml/2006/main">
              <a:srgbClr val="977022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977022"/>
              </a:solidFill>
            </c:spPr>
          </c:marker>
          <c:trendline>
            <c:name>Regresja MNK</c:name>
            <c:spPr>
              <a:ln xmlns:a="http://schemas.openxmlformats.org/drawingml/2006/main" w="17145">
                <a:solidFill>
                  <a:srgbClr val="374151"/>
                </a:solidFill>
                <a:prstDash val="solid"/>
              </a:ln>
            </c:spPr>
            <c:trendlineType val="linear"/>
          </c:trendline>
          <c:xVal>
            <c:numRef>
              <c:f>'Dane'!$H$5:$H$15</c:f>
              <c:numCache>
                <c:formatCode>0.00</c:formatCode>
                <c:ptCount val="0"/>
              </c:numCache>
            </c:numRef>
          </c:xVal>
          <c:yVal>
            <c:numRef>
              <c:f>'Dane'!$I$5:$I$15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4"/>
          <c:min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ax val="20"/>
          <c:min val="3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7dfc7eda9e40cf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a78d12b63b4930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cfa8f2c5264f06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bcd9fd816449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6a9dd9ccb0403b" /></Relationships>
</file>

<file path=xl/worksheets/sheet1.xml><?xml version="1.0" encoding="utf-8"?>
<x:worksheet xmlns:x="http://schemas.openxmlformats.org/spreadsheetml/2006/main">
  <x:sheetPr>
    <x:tabColor rgb="FF243E54"/>
  </x:sheetPr>
  <x:sheetViews>
    <x:sheetView showGridLines="0" workbookViewId="0"/>
  </x:sheetViews>
  <x:sheetFormatPr defaultRowHeight="15"/>
  <x:cols>
    <x:col min="2" max="2" width="8" hidden="0" customWidth="1"/>
    <x:col min="3" max="3" width="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 ht="22" customHeight="1">
      <x:c r="B2" s="3" t="str">
        <x:v>Kwartet Anscombe'a: statystyki i regresja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B4" s="4" t="str">
        <x:v>s²: wariancja z próby (n-1). v: wariancja opisowa (n). R²: regresja z wyrazem wolnym.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2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7" customHeight="1">
      <x:c r="B6" s="7" t="str">
        <x:v>Seria</x:v>
      </x:c>
      <x:c r="C6" s="7" t="str">
        <x:v>n</x:v>
      </x:c>
      <x:c r="D6" s="7" t="str">
        <x:v>Średnia x</x:v>
      </x:c>
      <x:c r="E6" s="7" t="str">
        <x:v>Średnia y</x:v>
      </x:c>
      <x:c r="F6" s="7" t="str">
        <x:v>s² x</x:v>
      </x:c>
      <x:c r="G6" s="7" t="str">
        <x:v>s² y</x:v>
      </x:c>
      <x:c r="H6" s="7" t="str">
        <x:v>v x</x:v>
      </x:c>
      <x:c r="I6" s="7" t="str">
        <x:v>v y</x:v>
      </x:c>
      <x:c r="J6" s="7" t="str">
        <x:v>Pearson r</x:v>
      </x:c>
      <x:c r="K6" s="7" t="str">
        <x:v>β0</x:v>
      </x:c>
      <x:c r="L6" s="7" t="str">
        <x:v>β1</x:v>
      </x:c>
      <x:c r="M6" s="7" t="str">
        <x:v>R²</x:v>
      </x:c>
    </x:row>
    <x:row r="7" ht="22" customHeight="1">
      <x:c r="B7" s="2" t="str">
        <x:v>I</x:v>
      </x:c>
      <x:c r="C7" s="8" t="n">
        <x:f>COUNT('Dane'!$B$5:$B$15)</x:f>
        <x:v>11</x:v>
      </x:c>
      <x:c r="D7" s="10" t="n">
        <x:f>AVERAGE('Dane'!$B$5:$B$15)</x:f>
        <x:v>9</x:v>
      </x:c>
      <x:c r="E7" s="10" t="n">
        <x:f>AVERAGE('Dane'!$C$5:$C$15)</x:f>
        <x:v>7.500909090909093</x:v>
      </x:c>
      <x:c r="F7" s="10" t="n">
        <x:f>_xlfn.VAR.S('Dane'!$B$5:$B$15)</x:f>
        <x:v>11</x:v>
      </x:c>
      <x:c r="G7" s="10" t="n">
        <x:f>_xlfn.VAR.S('Dane'!$C$5:$C$15)</x:f>
        <x:v>4.127269090909091</x:v>
      </x:c>
      <x:c r="H7" s="10" t="n">
        <x:f>_xlfn.VAR.P('Dane'!$B$5:$B$15)</x:f>
        <x:v>10</x:v>
      </x:c>
      <x:c r="I7" s="10" t="n">
        <x:f>_xlfn.VAR.P('Dane'!$C$5:$C$15)</x:f>
        <x:v>3.7520628099173554</x:v>
      </x:c>
      <x:c r="J7" s="10" t="n">
        <x:f>CORREL('Dane'!$B$5:$B$15,'Dane'!$C$5:$C$15)</x:f>
        <x:v>0.8164205163448401</x:v>
      </x:c>
      <x:c r="K7" s="10" t="n">
        <x:f>INTERCEPT('Dane'!$C$5:$C$15,'Dane'!$B$5:$B$15)</x:f>
        <x:v>3.0000909090909103</x:v>
      </x:c>
      <x:c r="L7" s="10" t="n">
        <x:f>SLOPE('Dane'!$C$5:$C$15,'Dane'!$B$5:$B$15)</x:f>
        <x:v>0.5000909090909091</x:v>
      </x:c>
      <x:c r="M7" s="10" t="n">
        <x:f>RSQ('Dane'!$C$5:$C$15,'Dane'!$B$5:$B$15)</x:f>
        <x:v>0.6665424595087752</x:v>
      </x:c>
    </x:row>
    <x:row r="8" ht="22" customHeight="1">
      <x:c r="B8" s="2" t="str">
        <x:v>II</x:v>
      </x:c>
      <x:c r="C8" s="8" t="n">
        <x:f>COUNT('Dane'!$D$5:$D$15)</x:f>
        <x:v>11</x:v>
      </x:c>
      <x:c r="D8" s="10" t="n">
        <x:f>AVERAGE('Dane'!$D$5:$D$15)</x:f>
        <x:v>9</x:v>
      </x:c>
      <x:c r="E8" s="10" t="n">
        <x:f>AVERAGE('Dane'!$E$5:$E$15)</x:f>
        <x:v>7.500909090909091</x:v>
      </x:c>
      <x:c r="F8" s="10" t="n">
        <x:f>_xlfn.VAR.S('Dane'!$D$5:$D$15)</x:f>
        <x:v>11</x:v>
      </x:c>
      <x:c r="G8" s="10" t="n">
        <x:f>_xlfn.VAR.S('Dane'!$E$5:$E$15)</x:f>
        <x:v>4.127629090909091</x:v>
      </x:c>
      <x:c r="H8" s="10" t="n">
        <x:f>_xlfn.VAR.P('Dane'!$D$5:$D$15)</x:f>
        <x:v>10</x:v>
      </x:c>
      <x:c r="I8" s="10" t="n">
        <x:f>_xlfn.VAR.P('Dane'!$E$5:$E$15)</x:f>
        <x:v>3.7523900826446277</x:v>
      </x:c>
      <x:c r="J8" s="10" t="n">
        <x:f>CORREL('Dane'!$D$5:$D$15,'Dane'!$E$5:$E$15)</x:f>
        <x:v>0.8162365060002429</x:v>
      </x:c>
      <x:c r="K8" s="10" t="n">
        <x:f>INTERCEPT('Dane'!$E$5:$E$15,'Dane'!$D$5:$D$15)</x:f>
        <x:v>3.000909090909089</x:v>
      </x:c>
      <x:c r="L8" s="10" t="n">
        <x:f>SLOPE('Dane'!$E$5:$E$15,'Dane'!$D$5:$D$15)</x:f>
        <x:v>0.5000000000000001</x:v>
      </x:c>
      <x:c r="M8" s="10" t="n">
        <x:f>RSQ('Dane'!$E$5:$E$15,'Dane'!$D$5:$D$15)</x:f>
        <x:v>0.6662420337274846</x:v>
      </x:c>
    </x:row>
    <x:row r="9" ht="22" customHeight="1">
      <x:c r="B9" s="2" t="str">
        <x:v>III</x:v>
      </x:c>
      <x:c r="C9" s="8" t="n">
        <x:f>COUNT('Dane'!$F$5:$F$15)</x:f>
        <x:v>11</x:v>
      </x:c>
      <x:c r="D9" s="10" t="n">
        <x:f>AVERAGE('Dane'!$F$5:$F$15)</x:f>
        <x:v>9</x:v>
      </x:c>
      <x:c r="E9" s="10" t="n">
        <x:f>AVERAGE('Dane'!$G$5:$G$15)</x:f>
        <x:v>7.500000000000001</x:v>
      </x:c>
      <x:c r="F9" s="10" t="n">
        <x:f>_xlfn.VAR.S('Dane'!$F$5:$F$15)</x:f>
        <x:v>11</x:v>
      </x:c>
      <x:c r="G9" s="10" t="n">
        <x:f>_xlfn.VAR.S('Dane'!$G$5:$G$15)</x:f>
        <x:v>4.12262</x:v>
      </x:c>
      <x:c r="H9" s="10" t="n">
        <x:f>_xlfn.VAR.P('Dane'!$F$5:$F$15)</x:f>
        <x:v>10</x:v>
      </x:c>
      <x:c r="I9" s="10" t="n">
        <x:f>_xlfn.VAR.P('Dane'!$G$5:$G$15)</x:f>
        <x:v>3.747836363636364</x:v>
      </x:c>
      <x:c r="J9" s="10" t="n">
        <x:f>CORREL('Dane'!$F$5:$F$15,'Dane'!$G$5:$G$15)</x:f>
        <x:v>0.8162867394895983</x:v>
      </x:c>
      <x:c r="K9" s="10" t="n">
        <x:f>INTERCEPT('Dane'!$G$5:$G$15,'Dane'!$F$5:$F$15)</x:f>
        <x:v>3.002454545454545</x:v>
      </x:c>
      <x:c r="L9" s="10" t="n">
        <x:f>SLOPE('Dane'!$G$5:$G$15,'Dane'!$F$5:$F$15)</x:f>
        <x:v>0.49972727272727274</x:v>
      </x:c>
      <x:c r="M9" s="10" t="n">
        <x:f>RSQ('Dane'!$G$5:$G$15,'Dane'!$F$5:$F$15)</x:f>
        <x:v>0.6663240410665593</x:v>
      </x:c>
    </x:row>
    <x:row r="10" ht="22" customHeight="1">
      <x:c r="B10" s="2" t="str">
        <x:v>IV</x:v>
      </x:c>
      <x:c r="C10" s="8" t="n">
        <x:f>COUNT('Dane'!$H$5:$H$15)</x:f>
        <x:v>11</x:v>
      </x:c>
      <x:c r="D10" s="10" t="n">
        <x:f>AVERAGE('Dane'!$H$5:$H$15)</x:f>
        <x:v>9</x:v>
      </x:c>
      <x:c r="E10" s="10" t="n">
        <x:f>AVERAGE('Dane'!$I$5:$I$15)</x:f>
        <x:v>7.50090909090909</x:v>
      </x:c>
      <x:c r="F10" s="10" t="n">
        <x:f>_xlfn.VAR.S('Dane'!$H$5:$H$15)</x:f>
        <x:v>11</x:v>
      </x:c>
      <x:c r="G10" s="10" t="n">
        <x:f>_xlfn.VAR.S('Dane'!$I$5:$I$15)</x:f>
        <x:v>4.12324909090909</x:v>
      </x:c>
      <x:c r="H10" s="10" t="n">
        <x:f>_xlfn.VAR.P('Dane'!$H$5:$H$15)</x:f>
        <x:v>10</x:v>
      </x:c>
      <x:c r="I10" s="10" t="n">
        <x:f>_xlfn.VAR.P('Dane'!$I$5:$I$15)</x:f>
        <x:v>3.74840826446281</x:v>
      </x:c>
      <x:c r="J10" s="10" t="n">
        <x:f>CORREL('Dane'!$H$5:$H$15,'Dane'!$I$5:$I$15)</x:f>
        <x:v>0.816521436888503</x:v>
      </x:c>
      <x:c r="K10" s="10" t="n">
        <x:f>INTERCEPT('Dane'!$I$5:$I$15,'Dane'!$H$5:$H$15)</x:f>
        <x:v>3.0017272727272726</x:v>
      </x:c>
      <x:c r="L10" s="10" t="n">
        <x:f>SLOPE('Dane'!$I$5:$I$15,'Dane'!$H$5:$H$15)</x:f>
        <x:v>0.49990909090909086</x:v>
      </x:c>
      <x:c r="M10" s="10" t="n">
        <x:f>RSQ('Dane'!$I$5:$I$15,'Dane'!$H$5:$H$15)</x:f>
        <x:v>0.6667072568984652</x:v>
      </x:c>
    </x:row>
    <x:row r="11" ht="22" customHeight="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2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2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2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2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2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2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2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2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2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2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2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2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2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2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2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2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2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2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2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2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2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2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2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2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2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2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2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2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2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2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2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2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2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</x:sheetData>
  <x:pageMargins left="0.7" right="0.7" top="0.75" bottom="0.75" header="0.3" footer="0.3"/>
  <x:drawing xmlns:r="http://schemas.openxmlformats.org/officeDocument/2006/relationships" r:id="R006a9dd9ccb0403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2" customHeight="1">
      <x:c r="A1" s="11" t="str">
        <x:v>Dane kwartetu Anscombe'a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Źródło: lista laboratoryjna K. Halawy, zadanie 1. Zachowano kolejność i precyzję danych.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7" customHeight="1">
      <x:c r="A4" s="7" t="str">
        <x:v>Nr</x:v>
      </x:c>
      <x:c r="B4" s="7" t="str">
        <x:v>x I</x:v>
      </x:c>
      <x:c r="C4" s="7" t="str">
        <x:v>y I</x:v>
      </x:c>
      <x:c r="D4" s="7" t="str">
        <x:v>x II</x:v>
      </x:c>
      <x:c r="E4" s="7" t="str">
        <x:v>y II</x:v>
      </x:c>
      <x:c r="F4" s="7" t="str">
        <x:v>x III</x:v>
      </x:c>
      <x:c r="G4" s="7" t="str">
        <x:v>y III</x:v>
      </x:c>
      <x:c r="H4" s="7" t="str">
        <x:v>x IV</x:v>
      </x:c>
      <x:c r="I4" s="7" t="str">
        <x:v>y IV</x:v>
      </x:c>
    </x:row>
    <x:row r="5" ht="22" customHeight="1">
      <x:c r="A5" s="2" t="n">
        <x:v>1</x:v>
      </x:c>
      <x:c r="B5" s="13" t="n">
        <x:v>10</x:v>
      </x:c>
      <x:c r="C5" s="13" t="n">
        <x:v>8.04</x:v>
      </x:c>
      <x:c r="D5" s="13" t="n">
        <x:v>10</x:v>
      </x:c>
      <x:c r="E5" s="13" t="n">
        <x:v>9.14</x:v>
      </x:c>
      <x:c r="F5" s="13" t="n">
        <x:v>10</x:v>
      </x:c>
      <x:c r="G5" s="13" t="n">
        <x:v>7.46</x:v>
      </x:c>
      <x:c r="H5" s="13" t="n">
        <x:v>8</x:v>
      </x:c>
      <x:c r="I5" s="13" t="n">
        <x:v>6.58</x:v>
      </x:c>
    </x:row>
    <x:row r="6" ht="22" customHeight="1">
      <x:c r="A6" s="2" t="n">
        <x:v>2</x:v>
      </x:c>
      <x:c r="B6" s="13" t="n">
        <x:v>8</x:v>
      </x:c>
      <x:c r="C6" s="13" t="n">
        <x:v>6.95</x:v>
      </x:c>
      <x:c r="D6" s="13" t="n">
        <x:v>8</x:v>
      </x:c>
      <x:c r="E6" s="13" t="n">
        <x:v>8.14</x:v>
      </x:c>
      <x:c r="F6" s="13" t="n">
        <x:v>8</x:v>
      </x:c>
      <x:c r="G6" s="13" t="n">
        <x:v>6.77</x:v>
      </x:c>
      <x:c r="H6" s="13" t="n">
        <x:v>8</x:v>
      </x:c>
      <x:c r="I6" s="13" t="n">
        <x:v>5.76</x:v>
      </x:c>
    </x:row>
    <x:row r="7" ht="22" customHeight="1">
      <x:c r="A7" s="2" t="n">
        <x:v>3</x:v>
      </x:c>
      <x:c r="B7" s="13" t="n">
        <x:v>13</x:v>
      </x:c>
      <x:c r="C7" s="13" t="n">
        <x:v>7.58</x:v>
      </x:c>
      <x:c r="D7" s="13" t="n">
        <x:v>13</x:v>
      </x:c>
      <x:c r="E7" s="13" t="n">
        <x:v>8.74</x:v>
      </x:c>
      <x:c r="F7" s="13" t="n">
        <x:v>13</x:v>
      </x:c>
      <x:c r="G7" s="13" t="n">
        <x:v>12.74</x:v>
      </x:c>
      <x:c r="H7" s="13" t="n">
        <x:v>8</x:v>
      </x:c>
      <x:c r="I7" s="13" t="n">
        <x:v>7.71</x:v>
      </x:c>
    </x:row>
    <x:row r="8" ht="22" customHeight="1">
      <x:c r="A8" s="2" t="n">
        <x:v>4</x:v>
      </x:c>
      <x:c r="B8" s="13" t="n">
        <x:v>9</x:v>
      </x:c>
      <x:c r="C8" s="13" t="n">
        <x:v>8.81</x:v>
      </x:c>
      <x:c r="D8" s="13" t="n">
        <x:v>9</x:v>
      </x:c>
      <x:c r="E8" s="13" t="n">
        <x:v>8.77</x:v>
      </x:c>
      <x:c r="F8" s="13" t="n">
        <x:v>9</x:v>
      </x:c>
      <x:c r="G8" s="13" t="n">
        <x:v>7.11</x:v>
      </x:c>
      <x:c r="H8" s="13" t="n">
        <x:v>8</x:v>
      </x:c>
      <x:c r="I8" s="13" t="n">
        <x:v>8.84</x:v>
      </x:c>
    </x:row>
    <x:row r="9" ht="22" customHeight="1">
      <x:c r="A9" s="2" t="n">
        <x:v>5</x:v>
      </x:c>
      <x:c r="B9" s="13" t="n">
        <x:v>11</x:v>
      </x:c>
      <x:c r="C9" s="13" t="n">
        <x:v>8.33</x:v>
      </x:c>
      <x:c r="D9" s="13" t="n">
        <x:v>11</x:v>
      </x:c>
      <x:c r="E9" s="13" t="n">
        <x:v>9.26</x:v>
      </x:c>
      <x:c r="F9" s="13" t="n">
        <x:v>11</x:v>
      </x:c>
      <x:c r="G9" s="13" t="n">
        <x:v>7.81</x:v>
      </x:c>
      <x:c r="H9" s="13" t="n">
        <x:v>8</x:v>
      </x:c>
      <x:c r="I9" s="13" t="n">
        <x:v>8.47</x:v>
      </x:c>
    </x:row>
    <x:row r="10" ht="22" customHeight="1">
      <x:c r="A10" s="2" t="n">
        <x:v>6</x:v>
      </x:c>
      <x:c r="B10" s="13" t="n">
        <x:v>14</x:v>
      </x:c>
      <x:c r="C10" s="13" t="n">
        <x:v>9.96</x:v>
      </x:c>
      <x:c r="D10" s="13" t="n">
        <x:v>14</x:v>
      </x:c>
      <x:c r="E10" s="13" t="n">
        <x:v>8.1</x:v>
      </x:c>
      <x:c r="F10" s="13" t="n">
        <x:v>14</x:v>
      </x:c>
      <x:c r="G10" s="13" t="n">
        <x:v>8.84</x:v>
      </x:c>
      <x:c r="H10" s="13" t="n">
        <x:v>8</x:v>
      </x:c>
      <x:c r="I10" s="13" t="n">
        <x:v>7.04</x:v>
      </x:c>
    </x:row>
    <x:row r="11" ht="22" customHeight="1">
      <x:c r="A11" s="2" t="n">
        <x:v>7</x:v>
      </x:c>
      <x:c r="B11" s="13" t="n">
        <x:v>6</x:v>
      </x:c>
      <x:c r="C11" s="13" t="n">
        <x:v>7.24</x:v>
      </x:c>
      <x:c r="D11" s="13" t="n">
        <x:v>6</x:v>
      </x:c>
      <x:c r="E11" s="13" t="n">
        <x:v>6.13</x:v>
      </x:c>
      <x:c r="F11" s="13" t="n">
        <x:v>6</x:v>
      </x:c>
      <x:c r="G11" s="13" t="n">
        <x:v>6.08</x:v>
      </x:c>
      <x:c r="H11" s="13" t="n">
        <x:v>8</x:v>
      </x:c>
      <x:c r="I11" s="13" t="n">
        <x:v>5.25</x:v>
      </x:c>
    </x:row>
    <x:row r="12" ht="22" customHeight="1">
      <x:c r="A12" s="2" t="n">
        <x:v>8</x:v>
      </x:c>
      <x:c r="B12" s="13" t="n">
        <x:v>4</x:v>
      </x:c>
      <x:c r="C12" s="13" t="n">
        <x:v>4.26</x:v>
      </x:c>
      <x:c r="D12" s="13" t="n">
        <x:v>4</x:v>
      </x:c>
      <x:c r="E12" s="13" t="n">
        <x:v>3.1</x:v>
      </x:c>
      <x:c r="F12" s="13" t="n">
        <x:v>4</x:v>
      </x:c>
      <x:c r="G12" s="13" t="n">
        <x:v>5.39</x:v>
      </x:c>
      <x:c r="H12" s="13" t="n">
        <x:v>19</x:v>
      </x:c>
      <x:c r="I12" s="13" t="n">
        <x:v>12.5</x:v>
      </x:c>
    </x:row>
    <x:row r="13" ht="22" customHeight="1">
      <x:c r="A13" s="2" t="n">
        <x:v>9</x:v>
      </x:c>
      <x:c r="B13" s="13" t="n">
        <x:v>12</x:v>
      </x:c>
      <x:c r="C13" s="13" t="n">
        <x:v>10.84</x:v>
      </x:c>
      <x:c r="D13" s="13" t="n">
        <x:v>12</x:v>
      </x:c>
      <x:c r="E13" s="13" t="n">
        <x:v>9.13</x:v>
      </x:c>
      <x:c r="F13" s="13" t="n">
        <x:v>12</x:v>
      </x:c>
      <x:c r="G13" s="13" t="n">
        <x:v>8.15</x:v>
      </x:c>
      <x:c r="H13" s="13" t="n">
        <x:v>8</x:v>
      </x:c>
      <x:c r="I13" s="13" t="n">
        <x:v>5.56</x:v>
      </x:c>
    </x:row>
    <x:row r="14" ht="22" customHeight="1">
      <x:c r="A14" s="2" t="n">
        <x:v>10</x:v>
      </x:c>
      <x:c r="B14" s="13" t="n">
        <x:v>7</x:v>
      </x:c>
      <x:c r="C14" s="13" t="n">
        <x:v>4.82</x:v>
      </x:c>
      <x:c r="D14" s="13" t="n">
        <x:v>7</x:v>
      </x:c>
      <x:c r="E14" s="13" t="n">
        <x:v>7.26</x:v>
      </x:c>
      <x:c r="F14" s="13" t="n">
        <x:v>7</x:v>
      </x:c>
      <x:c r="G14" s="13" t="n">
        <x:v>6.42</x:v>
      </x:c>
      <x:c r="H14" s="13" t="n">
        <x:v>8</x:v>
      </x:c>
      <x:c r="I14" s="13" t="n">
        <x:v>7.91</x:v>
      </x:c>
    </x:row>
    <x:row r="15" ht="22" customHeight="1">
      <x:c r="A15" s="2" t="n">
        <x:v>11</x:v>
      </x:c>
      <x:c r="B15" s="13" t="n">
        <x:v>5</x:v>
      </x:c>
      <x:c r="C15" s="13" t="n">
        <x:v>5.68</x:v>
      </x:c>
      <x:c r="D15" s="13" t="n">
        <x:v>5</x:v>
      </x:c>
      <x:c r="E15" s="13" t="n">
        <x:v>4.74</x:v>
      </x:c>
      <x:c r="F15" s="13" t="n">
        <x:v>5</x:v>
      </x:c>
      <x:c r="G15" s="13" t="n">
        <x:v>5.73</x:v>
      </x:c>
      <x:c r="H15" s="13" t="n">
        <x:v>8</x:v>
      </x:c>
      <x:c r="I15" s="13" t="n">
        <x:v>6.89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</x:row>
  </x:sheetData>
  <x:pageMargins left="0.7" right="0.7" top="0.75" bottom="0.75" header="0.3" footer="0.3"/>
</x:worksheet>
</file>